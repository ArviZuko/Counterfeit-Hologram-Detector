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d\Desktop\Final_Demo1\Image_Analysis\"/>
    </mc:Choice>
  </mc:AlternateContent>
  <xr:revisionPtr revIDLastSave="0" documentId="13_ncr:1_{EE877A80-2FA1-482A-A9E1-9EBBB1F6E3DF}" xr6:coauthVersionLast="47" xr6:coauthVersionMax="47" xr10:uidLastSave="{00000000-0000-0000-0000-000000000000}"/>
  <bookViews>
    <workbookView xWindow="-120" yWindow="-120" windowWidth="29040" windowHeight="15720" xr2:uid="{3B8B3C9A-F950-45EA-B9D1-DC8E531D3345}"/>
  </bookViews>
  <sheets>
    <sheet name="ROI_Aut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P7" i="4"/>
  <c r="P6" i="4"/>
  <c r="P5" i="4"/>
  <c r="N6" i="4"/>
  <c r="N7" i="4"/>
  <c r="N8" i="4"/>
  <c r="N9" i="4"/>
  <c r="N10" i="4"/>
  <c r="N11" i="4"/>
  <c r="N5" i="4"/>
  <c r="M10" i="4"/>
  <c r="M5" i="4"/>
  <c r="M6" i="4"/>
  <c r="M7" i="4"/>
  <c r="M8" i="4"/>
  <c r="M9" i="4"/>
  <c r="M4" i="4"/>
  <c r="D8" i="4"/>
  <c r="D7" i="4"/>
  <c r="J8" i="4"/>
  <c r="J7" i="4"/>
  <c r="K11" i="4"/>
  <c r="K10" i="4"/>
  <c r="K9" i="4"/>
  <c r="K8" i="4"/>
  <c r="K7" i="4"/>
  <c r="K6" i="4"/>
  <c r="K5" i="4"/>
  <c r="F5" i="4" l="1"/>
  <c r="F7" i="4"/>
  <c r="F6" i="4"/>
  <c r="F8" i="4"/>
  <c r="F9" i="4"/>
  <c r="F11" i="4"/>
  <c r="F10" i="4"/>
</calcChain>
</file>

<file path=xl/sharedStrings.xml><?xml version="1.0" encoding="utf-8"?>
<sst xmlns="http://schemas.openxmlformats.org/spreadsheetml/2006/main" count="15" uniqueCount="14">
  <si>
    <t>Duplicate</t>
  </si>
  <si>
    <t>Original</t>
  </si>
  <si>
    <t>Wavelength</t>
  </si>
  <si>
    <t>Duplicate - 2</t>
  </si>
  <si>
    <t>Duplicate - 3</t>
  </si>
  <si>
    <t>Duplicate - 4</t>
  </si>
  <si>
    <t>Duplicate - 1</t>
  </si>
  <si>
    <t>Mean</t>
  </si>
  <si>
    <t>Original - 2</t>
  </si>
  <si>
    <t>Original - 3</t>
  </si>
  <si>
    <t xml:space="preserve">Original -4 </t>
  </si>
  <si>
    <t>Original - 1</t>
  </si>
  <si>
    <t>Intensity Measurement - Not Normalised</t>
  </si>
  <si>
    <t>ROI-1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</si>
</sst>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480990427541579E-2"/>
          <c:y val="3.2665036766287625E-2"/>
          <c:w val="0.81773462292174703"/>
          <c:h val="0.87902989976090573"/>
        </c:manualLayout>
      </c:layout>
      <c:lineChart>
        <c:grouping val="standard"/>
        <c:varyColors val="0"/>
        <c:ser>
          <c:idx val="0"/>
          <c:order val="0"/>
          <c:tx>
            <c:v>Duplicate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fixedVal"/>
            <c:noEndCap val="0"/>
            <c:val val="1.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ROI_Auto!$A$5:$A$11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cat>
          <c:val>
            <c:numRef>
              <c:f>ROI_Auto!$F$5:$F$11</c:f>
              <c:numCache>
                <c:formatCode>General</c:formatCode>
                <c:ptCount val="7"/>
                <c:pt idx="0">
                  <c:v>67.875640215134254</c:v>
                </c:pt>
                <c:pt idx="1">
                  <c:v>58.831889126770648</c:v>
                </c:pt>
                <c:pt idx="2">
                  <c:v>63.111273345753375</c:v>
                </c:pt>
                <c:pt idx="3">
                  <c:v>61.27328426678568</c:v>
                </c:pt>
                <c:pt idx="4">
                  <c:v>56.559527343754375</c:v>
                </c:pt>
                <c:pt idx="5">
                  <c:v>64.644595816698569</c:v>
                </c:pt>
                <c:pt idx="6">
                  <c:v>69.400207332085969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C0-4E80-9358-D5261564B64D}"/>
            </c:ext>
          </c:extLst>
        </c:ser>
        <c:ser>
          <c:idx val="1"/>
          <c:order val="1"/>
          <c:tx>
            <c:v>Original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fixedVal"/>
            <c:noEndCap val="0"/>
            <c:val val="1.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ROI_Auto!$A$5:$A$11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cat>
          <c:val>
            <c:numRef>
              <c:f>ROI_Auto!$K$5:$K$11</c:f>
              <c:numCache>
                <c:formatCode>General</c:formatCode>
                <c:ptCount val="7"/>
                <c:pt idx="0">
                  <c:v>71.437158631568522</c:v>
                </c:pt>
                <c:pt idx="1">
                  <c:v>62.203355351802507</c:v>
                </c:pt>
                <c:pt idx="2">
                  <c:v>68.400598935226199</c:v>
                </c:pt>
                <c:pt idx="3">
                  <c:v>66.793939169870825</c:v>
                </c:pt>
                <c:pt idx="4">
                  <c:v>60.125256334417749</c:v>
                </c:pt>
                <c:pt idx="5">
                  <c:v>67.69448388050867</c:v>
                </c:pt>
                <c:pt idx="6">
                  <c:v>72.122550034506531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6C0-4E80-9358-D5261564B64D}"/>
            </c:ext>
          </c:extLst>
        </c:ser>
        <c:ser>
          <c:idx val="2"/>
          <c:order val="2"/>
          <c:tx>
            <c:v>Duplicate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ROI_Auto!$B$5:$B$11</c:f>
              <c:numCache>
                <c:formatCode>General</c:formatCode>
                <c:ptCount val="7"/>
                <c:pt idx="0">
                  <c:v>67.534642401021699</c:v>
                </c:pt>
                <c:pt idx="1">
                  <c:v>58.627607492549998</c:v>
                </c:pt>
                <c:pt idx="2">
                  <c:v>62.348073648361002</c:v>
                </c:pt>
                <c:pt idx="3">
                  <c:v>60.550872711792202</c:v>
                </c:pt>
                <c:pt idx="4">
                  <c:v>57.225564069816897</c:v>
                </c:pt>
                <c:pt idx="5">
                  <c:v>65.9138463175819</c:v>
                </c:pt>
                <c:pt idx="6">
                  <c:v>70.432801191996504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6C0-4E80-9358-D5261564B64D}"/>
            </c:ext>
          </c:extLst>
        </c:ser>
        <c:ser>
          <c:idx val="3"/>
          <c:order val="3"/>
          <c:tx>
            <c:v>Duplicate 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ROI_Auto!$C$5:$C$11</c:f>
              <c:numCache>
                <c:formatCode>General</c:formatCode>
                <c:ptCount val="7"/>
                <c:pt idx="0">
                  <c:v>68.007492550021198</c:v>
                </c:pt>
                <c:pt idx="1">
                  <c:v>58.989133673903702</c:v>
                </c:pt>
                <c:pt idx="2">
                  <c:v>64.123254576415405</c:v>
                </c:pt>
                <c:pt idx="3">
                  <c:v>62.408684546615497</c:v>
                </c:pt>
                <c:pt idx="4">
                  <c:v>56.215591741166399</c:v>
                </c:pt>
                <c:pt idx="5">
                  <c:v>63.631992337164696</c:v>
                </c:pt>
                <c:pt idx="6">
                  <c:v>68.270423584504002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6C0-4E80-9358-D5261564B64D}"/>
            </c:ext>
          </c:extLst>
        </c:ser>
        <c:ser>
          <c:idx val="4"/>
          <c:order val="4"/>
          <c:tx>
            <c:v>Duplicate 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ROI_Auto!$D$5:$D$11</c:f>
              <c:numCache>
                <c:formatCode>General</c:formatCode>
                <c:ptCount val="7"/>
                <c:pt idx="0">
                  <c:v>67.567297643695099</c:v>
                </c:pt>
                <c:pt idx="1">
                  <c:v>58.414798383121301</c:v>
                </c:pt>
                <c:pt idx="2">
                  <c:v>62.165010351966799</c:v>
                </c:pt>
                <c:pt idx="3">
                  <c:v>60.139031844621897</c:v>
                </c:pt>
                <c:pt idx="4">
                  <c:v>56.274218672976403</c:v>
                </c:pt>
                <c:pt idx="5">
                  <c:v>64.916927930592493</c:v>
                </c:pt>
                <c:pt idx="6">
                  <c:v>69.497397219757403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6C0-4E80-9358-D5261564B64D}"/>
            </c:ext>
          </c:extLst>
        </c:ser>
        <c:ser>
          <c:idx val="5"/>
          <c:order val="5"/>
          <c:tx>
            <c:v>Duplicate 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ROI_Auto!$E$5:$E$11</c:f>
              <c:numCache>
                <c:formatCode>General</c:formatCode>
                <c:ptCount val="7"/>
                <c:pt idx="0">
                  <c:v>68.393128265799007</c:v>
                </c:pt>
                <c:pt idx="1">
                  <c:v>59.296016957507597</c:v>
                </c:pt>
                <c:pt idx="2">
                  <c:v>63.808754806270301</c:v>
                </c:pt>
                <c:pt idx="3">
                  <c:v>61.994547964113103</c:v>
                </c:pt>
                <c:pt idx="4">
                  <c:v>56.522734891057802</c:v>
                </c:pt>
                <c:pt idx="5">
                  <c:v>64.115616681455194</c:v>
                </c:pt>
                <c:pt idx="6">
                  <c:v>68.727891156462505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6C0-4E80-9358-D5261564B64D}"/>
            </c:ext>
          </c:extLst>
        </c:ser>
        <c:ser>
          <c:idx val="6"/>
          <c:order val="6"/>
          <c:tx>
            <c:v>Original 1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ROI_Auto!$G$5:$G$11</c:f>
              <c:numCache>
                <c:formatCode>General</c:formatCode>
                <c:ptCount val="7"/>
                <c:pt idx="0">
                  <c:v>72.268825791186003</c:v>
                </c:pt>
                <c:pt idx="1">
                  <c:v>63.163216011042003</c:v>
                </c:pt>
                <c:pt idx="2">
                  <c:v>69.070068027210795</c:v>
                </c:pt>
                <c:pt idx="3">
                  <c:v>67.447737355811896</c:v>
                </c:pt>
                <c:pt idx="4">
                  <c:v>60.232091097308398</c:v>
                </c:pt>
                <c:pt idx="5">
                  <c:v>67.463916001182994</c:v>
                </c:pt>
                <c:pt idx="6">
                  <c:v>71.926777087646599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6C0-4E80-9358-D5261564B64D}"/>
            </c:ext>
          </c:extLst>
        </c:ser>
        <c:ser>
          <c:idx val="7"/>
          <c:order val="7"/>
          <c:tx>
            <c:v>Original 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ROI_Auto!$H$5:$H$11</c:f>
              <c:numCache>
                <c:formatCode>General</c:formatCode>
                <c:ptCount val="7"/>
                <c:pt idx="0">
                  <c:v>72.299733806566095</c:v>
                </c:pt>
                <c:pt idx="1">
                  <c:v>63.192891649413298</c:v>
                </c:pt>
                <c:pt idx="2">
                  <c:v>69.070580696046505</c:v>
                </c:pt>
                <c:pt idx="3">
                  <c:v>67.456797791580399</c:v>
                </c:pt>
                <c:pt idx="4">
                  <c:v>60.2123237700877</c:v>
                </c:pt>
                <c:pt idx="5">
                  <c:v>67.438755792171904</c:v>
                </c:pt>
                <c:pt idx="6">
                  <c:v>71.886503006999902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6C0-4E80-9358-D5261564B64D}"/>
            </c:ext>
          </c:extLst>
        </c:ser>
        <c:ser>
          <c:idx val="8"/>
          <c:order val="8"/>
          <c:tx>
            <c:v>Original 3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ROI_Auto!$I$5:$I$11</c:f>
              <c:numCache>
                <c:formatCode>General</c:formatCode>
                <c:ptCount val="7"/>
                <c:pt idx="0">
                  <c:v>70.778832692497204</c:v>
                </c:pt>
                <c:pt idx="1">
                  <c:v>62.018377205954799</c:v>
                </c:pt>
                <c:pt idx="2">
                  <c:v>68.1791087449472</c:v>
                </c:pt>
                <c:pt idx="3">
                  <c:v>66.711673075027093</c:v>
                </c:pt>
                <c:pt idx="4">
                  <c:v>60.821177166518702</c:v>
                </c:pt>
                <c:pt idx="5">
                  <c:v>68.785763580794594</c:v>
                </c:pt>
                <c:pt idx="6">
                  <c:v>73.122557428768602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6C0-4E80-9358-D5261564B64D}"/>
            </c:ext>
          </c:extLst>
        </c:ser>
        <c:ser>
          <c:idx val="9"/>
          <c:order val="9"/>
          <c:tx>
            <c:v>Original 4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ROI_Auto!$J$5:$J$11</c:f>
              <c:numCache>
                <c:formatCode>General</c:formatCode>
                <c:ptCount val="7"/>
                <c:pt idx="0">
                  <c:v>70.4012422360248</c:v>
                </c:pt>
                <c:pt idx="1">
                  <c:v>61.398797200039397</c:v>
                </c:pt>
                <c:pt idx="2">
                  <c:v>67.282638272700297</c:v>
                </c:pt>
                <c:pt idx="3">
                  <c:v>65.559548457063897</c:v>
                </c:pt>
                <c:pt idx="4">
                  <c:v>59.235433303756203</c:v>
                </c:pt>
                <c:pt idx="5">
                  <c:v>67.089500147885204</c:v>
                </c:pt>
                <c:pt idx="6">
                  <c:v>71.554362614610994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6C0-4E80-9358-D5261564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6764640"/>
        <c:axId val="926763392"/>
      </c:lineChart>
      <c:catAx>
        <c:axId val="926764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63392"/>
        <c:crosses val="autoZero"/>
        <c:auto val="1"/>
        <c:lblAlgn val="ctr"/>
        <c:lblOffset val="100"/>
        <c:noMultiLvlLbl val="0"/>
      </c:catAx>
      <c:valAx>
        <c:axId val="926763392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Gray</a:t>
                </a:r>
                <a:r>
                  <a:rPr lang="en-US" baseline="0"/>
                  <a:t>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6464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558595183813102"/>
          <c:y val="3.0434817772060658E-3"/>
          <c:w val="0.14400795990322238"/>
          <c:h val="0.99695651822279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Gray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407467404611408E-2"/>
          <c:y val="0.12076514528438492"/>
          <c:w val="0.89854865147498175"/>
          <c:h val="0.702097532411329"/>
        </c:manualLayout>
      </c:layout>
      <c:lineChart>
        <c:grouping val="standard"/>
        <c:varyColors val="0"/>
        <c:ser>
          <c:idx val="0"/>
          <c:order val="0"/>
          <c:tx>
            <c:v>Duplicate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1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ROI_Auto!$A$5:$A$11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cat>
          <c:val>
            <c:numRef>
              <c:f>ROI_Auto!$F$5:$F$11</c:f>
              <c:numCache>
                <c:formatCode>General</c:formatCode>
                <c:ptCount val="7"/>
                <c:pt idx="0">
                  <c:v>67.875640215134254</c:v>
                </c:pt>
                <c:pt idx="1">
                  <c:v>58.831889126770648</c:v>
                </c:pt>
                <c:pt idx="2">
                  <c:v>63.111273345753375</c:v>
                </c:pt>
                <c:pt idx="3">
                  <c:v>61.27328426678568</c:v>
                </c:pt>
                <c:pt idx="4">
                  <c:v>56.559527343754375</c:v>
                </c:pt>
                <c:pt idx="5">
                  <c:v>64.644595816698569</c:v>
                </c:pt>
                <c:pt idx="6">
                  <c:v>69.400207332085969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9A-432E-B1A4-7114497CED9E}"/>
            </c:ext>
          </c:extLst>
        </c:ser>
        <c:ser>
          <c:idx val="1"/>
          <c:order val="1"/>
          <c:tx>
            <c:v>Original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1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ROI_Auto!$A$5:$A$11</c:f>
              <c:numCache>
                <c:formatCode>General</c:formatCode>
                <c:ptCount val="7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</c:numCache>
            </c:numRef>
          </c:cat>
          <c:val>
            <c:numRef>
              <c:f>ROI_Auto!$K$5:$K$11</c:f>
              <c:numCache>
                <c:formatCode>General</c:formatCode>
                <c:ptCount val="7"/>
                <c:pt idx="0">
                  <c:v>71.437158631568522</c:v>
                </c:pt>
                <c:pt idx="1">
                  <c:v>62.203355351802507</c:v>
                </c:pt>
                <c:pt idx="2">
                  <c:v>68.400598935226199</c:v>
                </c:pt>
                <c:pt idx="3">
                  <c:v>66.793939169870825</c:v>
                </c:pt>
                <c:pt idx="4">
                  <c:v>60.125256334417749</c:v>
                </c:pt>
                <c:pt idx="5">
                  <c:v>67.69448388050867</c:v>
                </c:pt>
                <c:pt idx="6">
                  <c:v>72.122550034506531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C9A-432E-B1A4-7114497CE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902336"/>
        <c:axId val="1986904832"/>
      </c:lineChart>
      <c:catAx>
        <c:axId val="198690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04832"/>
        <c:crosses val="autoZero"/>
        <c:auto val="1"/>
        <c:lblAlgn val="ctr"/>
        <c:lblOffset val="100"/>
        <c:noMultiLvlLbl val="0"/>
      </c:catAx>
      <c:valAx>
        <c:axId val="1986904832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Gray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52801</xdr:rowOff>
    </xdr:from>
    <xdr:to>
      <xdr:col>11</xdr:col>
      <xdr:colOff>0</xdr:colOff>
      <xdr:row>38</xdr:row>
      <xdr:rowOff>179367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41B387-B357-4950-952F-6FAD92E10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155801</xdr:rowOff>
    </xdr:from>
    <xdr:to>
      <xdr:col>10</xdr:col>
      <xdr:colOff>596348</xdr:colOff>
      <xdr:row>61</xdr:row>
      <xdr:rowOff>55789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D3409-2CBE-4623-B221-992E9972C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B5DC-BA4B-4BFA-9750-8B5B7B6036F6}">
  <dimension ref="A1:P11"/>
  <sheetViews>
    <sheetView tabSelected="1" zoomScale="55" zoomScaleNormal="55" workbookViewId="0">
      <selection activeCell="A7" sqref="A7:XFD7"/>
    </sheetView>
  </sheetViews>
  <sheetFormatPr defaultRowHeight="15" x14ac:dyDescent="0.25"/>
  <cols>
    <col min="1" max="1" width="12.85546875" customWidth="1"/>
    <col min="2" max="2" width="13.140625" customWidth="1"/>
    <col min="3" max="3" width="13.5703125" customWidth="1"/>
    <col min="4" max="4" width="14.7109375" customWidth="1"/>
    <col min="5" max="5" width="12.85546875" customWidth="1"/>
    <col min="7" max="7" width="11.7109375" customWidth="1"/>
    <col min="8" max="8" width="14" customWidth="1"/>
    <col min="9" max="9" width="11.5703125" customWidth="1"/>
    <col min="10" max="10" width="13.140625" customWidth="1"/>
    <col min="13" max="13" width="12" bestFit="1" customWidth="1"/>
    <col min="14" max="15" width="13.140625" customWidth="1"/>
    <col min="16" max="16" width="13" customWidth="1"/>
    <col min="17" max="17" width="14.85546875" customWidth="1"/>
    <col min="18" max="18" width="13.5703125" customWidth="1"/>
    <col min="19" max="19" width="13.85546875" customWidth="1"/>
    <col min="20" max="20" width="12.42578125" customWidth="1"/>
    <col min="21" max="21" width="13" customWidth="1"/>
    <col min="22" max="22" width="11.7109375" customWidth="1"/>
    <col min="23" max="23" width="12.85546875" customWidth="1"/>
    <col min="24" max="24" width="12.5703125" customWidth="1"/>
  </cols>
  <sheetData>
    <row r="1" spans="1:16" ht="15.75" thickBot="1" x14ac:dyDescent="0.3">
      <c r="A1" s="7" t="s">
        <v>12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6" ht="15.75" thickBot="1" x14ac:dyDescent="0.3">
      <c r="A2" s="10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6" ht="15.75" thickBot="1" x14ac:dyDescent="0.3">
      <c r="A3" s="13" t="s">
        <v>2</v>
      </c>
      <c r="B3" s="15" t="s">
        <v>0</v>
      </c>
      <c r="C3" s="15"/>
      <c r="D3" s="15"/>
      <c r="E3" s="15"/>
      <c r="F3" s="16"/>
      <c r="G3" s="17" t="s">
        <v>1</v>
      </c>
      <c r="H3" s="18"/>
      <c r="I3" s="19"/>
      <c r="J3" s="18"/>
      <c r="K3" s="20"/>
    </row>
    <row r="4" spans="1:16" ht="15.75" thickBot="1" x14ac:dyDescent="0.3">
      <c r="A4" s="14"/>
      <c r="B4" s="1" t="s">
        <v>6</v>
      </c>
      <c r="C4" s="1" t="s">
        <v>3</v>
      </c>
      <c r="D4" s="1" t="s">
        <v>4</v>
      </c>
      <c r="E4" s="1" t="s">
        <v>5</v>
      </c>
      <c r="F4" s="1" t="s">
        <v>7</v>
      </c>
      <c r="G4" s="1" t="s">
        <v>11</v>
      </c>
      <c r="H4" s="1" t="s">
        <v>8</v>
      </c>
      <c r="I4" s="1" t="s">
        <v>9</v>
      </c>
      <c r="J4" s="1" t="s">
        <v>10</v>
      </c>
      <c r="K4" s="1" t="s">
        <v>7</v>
      </c>
      <c r="M4" s="4">
        <f>SQRT(K5-F5)</f>
        <v>1.8871985630649117</v>
      </c>
    </row>
    <row r="5" spans="1:16" x14ac:dyDescent="0.25">
      <c r="A5" s="2">
        <v>400</v>
      </c>
      <c r="B5" s="5">
        <v>67.534642401021699</v>
      </c>
      <c r="C5" s="5">
        <v>68.007492550021198</v>
      </c>
      <c r="D5" s="5">
        <v>67.567297643695099</v>
      </c>
      <c r="E5" s="5">
        <v>68.393128265799007</v>
      </c>
      <c r="F5" s="2">
        <f>AVERAGE(B5:E5)</f>
        <v>67.875640215134254</v>
      </c>
      <c r="G5" s="5">
        <v>72.268825791186003</v>
      </c>
      <c r="H5" s="5">
        <v>72.299733806566095</v>
      </c>
      <c r="I5" s="5">
        <v>70.778832692497204</v>
      </c>
      <c r="J5" s="5">
        <v>70.4012422360248</v>
      </c>
      <c r="K5" s="5">
        <f t="shared" ref="K5:K11" si="0">(AVERAGE(G5:J5))</f>
        <v>71.437158631568522</v>
      </c>
      <c r="M5" s="4">
        <f t="shared" ref="M5:M9" si="1">SQRT(K6-F6)</f>
        <v>1.8361552834746466</v>
      </c>
      <c r="N5">
        <f>K5-F5</f>
        <v>3.5615184164342679</v>
      </c>
      <c r="P5">
        <f>SUM(N5,N6,N9,N10,N11)/5</f>
        <v>3.2541888796720331</v>
      </c>
    </row>
    <row r="6" spans="1:16" x14ac:dyDescent="0.25">
      <c r="A6" s="2">
        <v>450</v>
      </c>
      <c r="B6" s="5">
        <v>58.627607492549998</v>
      </c>
      <c r="C6" s="5">
        <v>58.989133673903702</v>
      </c>
      <c r="D6" s="5">
        <v>58.414798383121301</v>
      </c>
      <c r="E6" s="5">
        <v>59.296016957507597</v>
      </c>
      <c r="F6" s="2">
        <f>AVERAGE(B6:E6)</f>
        <v>58.831889126770648</v>
      </c>
      <c r="G6" s="5">
        <v>63.163216011042003</v>
      </c>
      <c r="H6" s="5">
        <v>63.192891649413298</v>
      </c>
      <c r="I6" s="5">
        <v>62.018377205954799</v>
      </c>
      <c r="J6" s="5">
        <v>61.398797200039397</v>
      </c>
      <c r="K6" s="5">
        <f>(AVERAGE(H6:J6))</f>
        <v>62.203355351802507</v>
      </c>
      <c r="M6" s="4">
        <f t="shared" si="1"/>
        <v>2.2998533843427551</v>
      </c>
      <c r="N6">
        <f t="shared" ref="N6:N11" si="2">K6-F6</f>
        <v>3.3714662250318597</v>
      </c>
      <c r="P6">
        <f>SUM(N7:N8)/2</f>
        <v>5.4049902462789845</v>
      </c>
    </row>
    <row r="7" spans="1:16" x14ac:dyDescent="0.25">
      <c r="A7" s="2">
        <v>500</v>
      </c>
      <c r="B7" s="5">
        <v>62.348073648361002</v>
      </c>
      <c r="C7" s="5">
        <v>64.123254576415405</v>
      </c>
      <c r="D7" s="5">
        <f>1+61.1650103519668</f>
        <v>62.165010351966799</v>
      </c>
      <c r="E7" s="5">
        <v>63.808754806270301</v>
      </c>
      <c r="F7" s="2">
        <f>AVERAGE(B7:E7)</f>
        <v>63.111273345753375</v>
      </c>
      <c r="G7" s="5">
        <v>69.070068027210795</v>
      </c>
      <c r="H7" s="5">
        <v>69.070580696046505</v>
      </c>
      <c r="I7" s="5">
        <v>68.1791087449472</v>
      </c>
      <c r="J7" s="5">
        <f>1+66.2826382727003</f>
        <v>67.282638272700297</v>
      </c>
      <c r="K7" s="5">
        <f t="shared" si="0"/>
        <v>68.400598935226199</v>
      </c>
      <c r="M7" s="4">
        <f t="shared" si="1"/>
        <v>2.3496073933925952</v>
      </c>
      <c r="N7">
        <f t="shared" si="2"/>
        <v>5.2893255894728242</v>
      </c>
      <c r="P7">
        <f>SUM(N5:N6)/2</f>
        <v>3.4664923207330638</v>
      </c>
    </row>
    <row r="8" spans="1:16" x14ac:dyDescent="0.25">
      <c r="A8" s="2">
        <v>550</v>
      </c>
      <c r="B8" s="5">
        <v>60.550872711792202</v>
      </c>
      <c r="C8" s="5">
        <v>62.408684546615497</v>
      </c>
      <c r="D8" s="5">
        <f>1+59.1390318446219</f>
        <v>60.139031844621897</v>
      </c>
      <c r="E8" s="5">
        <v>61.994547964113103</v>
      </c>
      <c r="F8" s="2">
        <f t="shared" ref="F8:F10" si="3">AVERAGE(B8:E8)</f>
        <v>61.27328426678568</v>
      </c>
      <c r="G8" s="5">
        <v>67.447737355811896</v>
      </c>
      <c r="H8" s="5">
        <v>67.456797791580399</v>
      </c>
      <c r="I8" s="5">
        <v>66.711673075027093</v>
      </c>
      <c r="J8" s="5">
        <f>1+64.5595484570639</f>
        <v>65.559548457063897</v>
      </c>
      <c r="K8" s="5">
        <f t="shared" si="0"/>
        <v>66.793939169870825</v>
      </c>
      <c r="M8" s="4">
        <f t="shared" si="1"/>
        <v>1.888313795602673</v>
      </c>
      <c r="N8">
        <f t="shared" si="2"/>
        <v>5.5206549030851448</v>
      </c>
      <c r="P8">
        <f>SUM(N9:N11)/3</f>
        <v>3.1126532522980122</v>
      </c>
    </row>
    <row r="9" spans="1:16" x14ac:dyDescent="0.25">
      <c r="A9" s="2">
        <v>600</v>
      </c>
      <c r="B9" s="5">
        <v>57.225564069816897</v>
      </c>
      <c r="C9" s="5">
        <v>56.215591741166399</v>
      </c>
      <c r="D9" s="5">
        <v>56.274218672976403</v>
      </c>
      <c r="E9" s="5">
        <v>56.522734891057802</v>
      </c>
      <c r="F9" s="2">
        <f t="shared" si="3"/>
        <v>56.559527343754375</v>
      </c>
      <c r="G9" s="5">
        <v>60.232091097308398</v>
      </c>
      <c r="H9" s="5">
        <v>60.2123237700877</v>
      </c>
      <c r="I9" s="5">
        <v>60.821177166518702</v>
      </c>
      <c r="J9" s="5">
        <v>59.235433303756203</v>
      </c>
      <c r="K9" s="5">
        <f t="shared" si="0"/>
        <v>60.125256334417749</v>
      </c>
      <c r="M9" s="4">
        <f t="shared" si="1"/>
        <v>1.7463928721253135</v>
      </c>
      <c r="N9">
        <f t="shared" si="2"/>
        <v>3.5657289906633736</v>
      </c>
    </row>
    <row r="10" spans="1:16" x14ac:dyDescent="0.25">
      <c r="A10" s="2">
        <v>650</v>
      </c>
      <c r="B10" s="5">
        <v>65.9138463175819</v>
      </c>
      <c r="C10" s="5">
        <v>63.631992337164696</v>
      </c>
      <c r="D10" s="5">
        <v>64.916927930592493</v>
      </c>
      <c r="E10" s="5">
        <v>64.115616681455194</v>
      </c>
      <c r="F10" s="2">
        <f t="shared" si="3"/>
        <v>64.644595816698569</v>
      </c>
      <c r="G10" s="5">
        <v>67.463916001182994</v>
      </c>
      <c r="H10" s="5">
        <v>67.438755792171904</v>
      </c>
      <c r="I10" s="5">
        <v>68.785763580794594</v>
      </c>
      <c r="J10" s="5">
        <v>67.089500147885204</v>
      </c>
      <c r="K10" s="5">
        <f t="shared" si="0"/>
        <v>67.69448388050867</v>
      </c>
      <c r="M10" s="4">
        <f>SQRT(K11-F11)</f>
        <v>1.6499523333783197</v>
      </c>
      <c r="N10">
        <f t="shared" si="2"/>
        <v>3.0498880638101014</v>
      </c>
    </row>
    <row r="11" spans="1:16" ht="15.75" thickBot="1" x14ac:dyDescent="0.3">
      <c r="A11" s="3">
        <v>700</v>
      </c>
      <c r="B11" s="6">
        <v>70.432801191996504</v>
      </c>
      <c r="C11" s="6">
        <v>68.270423584504002</v>
      </c>
      <c r="D11" s="6">
        <v>69.497397219757403</v>
      </c>
      <c r="E11" s="6">
        <v>68.727891156462505</v>
      </c>
      <c r="F11" s="3">
        <f>AVERAGE(B11:D11)</f>
        <v>69.400207332085969</v>
      </c>
      <c r="G11" s="6">
        <v>71.926777087646599</v>
      </c>
      <c r="H11" s="6">
        <v>71.886503006999902</v>
      </c>
      <c r="I11" s="6">
        <v>73.122557428768602</v>
      </c>
      <c r="J11" s="6">
        <v>71.554362614610994</v>
      </c>
      <c r="K11" s="6">
        <f t="shared" si="0"/>
        <v>72.122550034506531</v>
      </c>
      <c r="N11">
        <f t="shared" si="2"/>
        <v>2.722342702420562</v>
      </c>
    </row>
  </sheetData>
  <mergeCells count="5">
    <mergeCell ref="A1:K1"/>
    <mergeCell ref="A2:K2"/>
    <mergeCell ref="A3:A4"/>
    <mergeCell ref="B3:F3"/>
    <mergeCell ref="G3:K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ROI_Auto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Itachi Uchiha</dc:creator>
  <cp:lastModifiedBy>Itachi Uchiha</cp:lastModifiedBy>
  <dcterms:created xsi:type="dcterms:W3CDTF">2022-01-25T06:58:28Z</dcterms:created>
  <dcterms:modified xsi:type="dcterms:W3CDTF">2022-05-29T06:52:32Z</dcterms:modified>
</cp:coreProperties>
</file>