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E:\Work\Projects\Counterfeit Design\New 1000\"/>
    </mc:Choice>
  </mc:AlternateContent>
  <xr:revisionPtr revIDLastSave="0" documentId="13_ncr:1_{F7D49B61-E0B8-4307-AA83-D4FA823CF398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2" i="1" l="1"/>
  <c r="S9" i="1"/>
  <c r="AI17" i="1"/>
  <c r="AI8" i="1"/>
  <c r="AI9" i="1"/>
  <c r="L27" i="1" s="1"/>
  <c r="M27" i="1" s="1"/>
  <c r="AI10" i="1"/>
  <c r="L28" i="1" s="1"/>
  <c r="M28" i="1" s="1"/>
  <c r="AI11" i="1"/>
  <c r="AI13" i="1"/>
  <c r="L31" i="1" s="1"/>
  <c r="M31" i="1" s="1"/>
  <c r="AI14" i="1"/>
  <c r="AI15" i="1"/>
  <c r="AI16" i="1"/>
  <c r="AI7" i="1"/>
  <c r="L25" i="1" s="1"/>
  <c r="M25" i="1" s="1"/>
  <c r="S17" i="1"/>
  <c r="S8" i="1"/>
  <c r="S10" i="1"/>
  <c r="S11" i="1"/>
  <c r="S12" i="1"/>
  <c r="S13" i="1"/>
  <c r="S14" i="1"/>
  <c r="S15" i="1"/>
  <c r="S16" i="1"/>
  <c r="S7" i="1"/>
  <c r="L34" i="1" l="1"/>
  <c r="M34" i="1" s="1"/>
  <c r="L29" i="1"/>
  <c r="M29" i="1" s="1"/>
  <c r="L33" i="1"/>
  <c r="M33" i="1" s="1"/>
  <c r="L26" i="1"/>
  <c r="M26" i="1" s="1"/>
  <c r="L35" i="1"/>
  <c r="M35" i="1" s="1"/>
  <c r="L32" i="1"/>
  <c r="M32" i="1" s="1"/>
  <c r="L30" i="1"/>
  <c r="AE17" i="1"/>
  <c r="AE8" i="1"/>
  <c r="AE9" i="1"/>
  <c r="AE10" i="1"/>
  <c r="AE11" i="1"/>
  <c r="AE12" i="1"/>
  <c r="AE13" i="1"/>
  <c r="AE14" i="1"/>
  <c r="AE15" i="1"/>
  <c r="AE16" i="1"/>
  <c r="AE7" i="1"/>
  <c r="O17" i="1"/>
  <c r="O8" i="1"/>
  <c r="O9" i="1"/>
  <c r="O10" i="1"/>
  <c r="O11" i="1"/>
  <c r="O12" i="1"/>
  <c r="O13" i="1"/>
  <c r="O14" i="1"/>
  <c r="O15" i="1"/>
  <c r="O16" i="1"/>
  <c r="O7" i="1"/>
  <c r="W9" i="1"/>
  <c r="W10" i="1"/>
  <c r="W11" i="1"/>
  <c r="W12" i="1"/>
  <c r="F30" i="1" s="1"/>
  <c r="G30" i="1" s="1"/>
  <c r="W13" i="1"/>
  <c r="W14" i="1"/>
  <c r="W15" i="1"/>
  <c r="F33" i="1" s="1"/>
  <c r="G33" i="1" s="1"/>
  <c r="W16" i="1"/>
  <c r="W17" i="1"/>
  <c r="W8" i="1"/>
  <c r="W7" i="1"/>
  <c r="AA8" i="1"/>
  <c r="AA9" i="1"/>
  <c r="AA10" i="1"/>
  <c r="AA11" i="1"/>
  <c r="AA12" i="1"/>
  <c r="H30" i="1" s="1"/>
  <c r="I30" i="1" s="1"/>
  <c r="AA13" i="1"/>
  <c r="AA14" i="1"/>
  <c r="AA15" i="1"/>
  <c r="H33" i="1" s="1"/>
  <c r="I33" i="1" s="1"/>
  <c r="AA16" i="1"/>
  <c r="AA17" i="1"/>
  <c r="AA7" i="1"/>
  <c r="K8" i="1"/>
  <c r="K9" i="1"/>
  <c r="K10" i="1"/>
  <c r="K11" i="1"/>
  <c r="K12" i="1"/>
  <c r="K13" i="1"/>
  <c r="K14" i="1"/>
  <c r="K15" i="1"/>
  <c r="K16" i="1"/>
  <c r="K17" i="1"/>
  <c r="K7" i="1"/>
  <c r="G8" i="1"/>
  <c r="G9" i="1"/>
  <c r="G10" i="1"/>
  <c r="G11" i="1"/>
  <c r="G12" i="1"/>
  <c r="G13" i="1"/>
  <c r="G14" i="1"/>
  <c r="G15" i="1"/>
  <c r="G16" i="1"/>
  <c r="G17" i="1"/>
  <c r="G7" i="1"/>
  <c r="C9" i="1"/>
  <c r="C10" i="1" s="1"/>
  <c r="C11" i="1" s="1"/>
  <c r="C12" i="1" s="1"/>
  <c r="C13" i="1" s="1"/>
  <c r="C14" i="1" s="1"/>
  <c r="C15" i="1" s="1"/>
  <c r="C16" i="1" s="1"/>
  <c r="C17" i="1" s="1"/>
  <c r="H34" i="1" l="1"/>
  <c r="I34" i="1" s="1"/>
  <c r="J30" i="1"/>
  <c r="K30" i="1" s="1"/>
  <c r="H35" i="1"/>
  <c r="I35" i="1" s="1"/>
  <c r="F35" i="1"/>
  <c r="G35" i="1" s="1"/>
  <c r="H27" i="1"/>
  <c r="I27" i="1" s="1"/>
  <c r="H32" i="1"/>
  <c r="I32" i="1" s="1"/>
  <c r="H29" i="1"/>
  <c r="I29" i="1" s="1"/>
  <c r="F25" i="1"/>
  <c r="G25" i="1" s="1"/>
  <c r="H25" i="1"/>
  <c r="F26" i="1"/>
  <c r="G26" i="1" s="1"/>
  <c r="J29" i="1"/>
  <c r="K29" i="1" s="1"/>
  <c r="H31" i="1"/>
  <c r="I31" i="1" s="1"/>
  <c r="J27" i="1"/>
  <c r="K27" i="1" s="1"/>
  <c r="F29" i="1"/>
  <c r="G29" i="1" s="1"/>
  <c r="H28" i="1"/>
  <c r="I28" i="1" s="1"/>
  <c r="F28" i="1"/>
  <c r="G28" i="1" s="1"/>
  <c r="F27" i="1"/>
  <c r="G27" i="1" s="1"/>
  <c r="H26" i="1"/>
  <c r="I26" i="1" s="1"/>
  <c r="J26" i="1"/>
  <c r="K26" i="1" s="1"/>
  <c r="F34" i="1"/>
  <c r="G34" i="1" s="1"/>
  <c r="F32" i="1"/>
  <c r="G32" i="1" s="1"/>
  <c r="L36" i="1"/>
  <c r="M30" i="1"/>
  <c r="M36" i="1" s="1"/>
  <c r="F31" i="1"/>
  <c r="G31" i="1" s="1"/>
  <c r="J31" i="1"/>
  <c r="K31" i="1" s="1"/>
  <c r="J28" i="1"/>
  <c r="K28" i="1" s="1"/>
  <c r="J35" i="1"/>
  <c r="K35" i="1" s="1"/>
  <c r="J25" i="1"/>
  <c r="J34" i="1"/>
  <c r="K34" i="1" s="1"/>
  <c r="J33" i="1"/>
  <c r="K33" i="1" s="1"/>
  <c r="J32" i="1"/>
  <c r="K32" i="1" s="1"/>
  <c r="H36" i="1" l="1"/>
  <c r="I25" i="1"/>
  <c r="I36" i="1" s="1"/>
  <c r="G36" i="1"/>
  <c r="F36" i="1"/>
  <c r="K25" i="1"/>
  <c r="K36" i="1" s="1"/>
  <c r="J36" i="1"/>
</calcChain>
</file>

<file path=xl/sharedStrings.xml><?xml version="1.0" encoding="utf-8"?>
<sst xmlns="http://schemas.openxmlformats.org/spreadsheetml/2006/main" count="35" uniqueCount="16">
  <si>
    <t>Template 1</t>
  </si>
  <si>
    <t>Template 2</t>
  </si>
  <si>
    <t>Template 3</t>
  </si>
  <si>
    <t>Template 4</t>
  </si>
  <si>
    <t>Original</t>
  </si>
  <si>
    <t>Duplicate</t>
  </si>
  <si>
    <t>Wavelength (nm)</t>
  </si>
  <si>
    <t>Gain</t>
  </si>
  <si>
    <t>Average</t>
  </si>
  <si>
    <t>Difference</t>
  </si>
  <si>
    <t>Difference in %</t>
  </si>
  <si>
    <t>ROI-1</t>
  </si>
  <si>
    <t>ROI-2</t>
  </si>
  <si>
    <t>ROI-3</t>
  </si>
  <si>
    <t>ROI-4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</si>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</sst>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6" xfId="0" applyBorder="1"/>
    <xf numFmtId="0" fontId="0" fillId="0" borderId="15" xfId="0" applyBorder="1"/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4" fillId="0" borderId="6" xfId="0" applyNumberFormat="1" applyFont="1" applyBorder="1"/>
    <xf numFmtId="164" fontId="0" fillId="0" borderId="15" xfId="0" applyNumberFormat="1" applyBorder="1" applyAlignment="1">
      <alignment horizontal="center" vertical="center"/>
    </xf>
    <xf numFmtId="164" fontId="5" fillId="0" borderId="2" xfId="0" applyNumberFormat="1" applyFont="1" applyBorder="1"/>
    <xf numFmtId="164" fontId="5" fillId="0" borderId="3" xfId="0" applyNumberFormat="1" applyFont="1" applyBorder="1"/>
    <xf numFmtId="164" fontId="5" fillId="0" borderId="4" xfId="0" applyNumberFormat="1" applyFont="1" applyBorder="1"/>
    <xf numFmtId="164" fontId="0" fillId="0" borderId="6" xfId="0" applyNumberFormat="1" applyBorder="1" applyAlignment="1">
      <alignment horizontal="center" vertical="center"/>
    </xf>
    <xf numFmtId="164" fontId="5" fillId="0" borderId="5" xfId="0" applyNumberFormat="1" applyFont="1" applyBorder="1"/>
    <xf numFmtId="164" fontId="5" fillId="0" borderId="0" xfId="0" applyNumberFormat="1" applyFont="1" applyBorder="1"/>
    <xf numFmtId="164" fontId="5" fillId="0" borderId="6" xfId="0" applyNumberFormat="1" applyFont="1" applyBorder="1"/>
    <xf numFmtId="164" fontId="4" fillId="0" borderId="9" xfId="0" applyNumberFormat="1" applyFont="1" applyBorder="1"/>
    <xf numFmtId="164" fontId="0" fillId="0" borderId="14" xfId="0" applyNumberFormat="1" applyBorder="1" applyAlignment="1">
      <alignment horizontal="center" vertical="center"/>
    </xf>
    <xf numFmtId="164" fontId="5" fillId="0" borderId="7" xfId="0" applyNumberFormat="1" applyFont="1" applyBorder="1"/>
    <xf numFmtId="164" fontId="5" fillId="0" borderId="8" xfId="0" applyNumberFormat="1" applyFont="1" applyBorder="1"/>
    <xf numFmtId="164" fontId="5" fillId="0" borderId="9" xfId="0" applyNumberFormat="1" applyFont="1" applyBorder="1"/>
    <xf numFmtId="164" fontId="0" fillId="0" borderId="9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0" xfId="0" applyFont="1"/>
    <xf numFmtId="164" fontId="0" fillId="0" borderId="13" xfId="0" applyNumberFormat="1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6" fillId="0" borderId="5" xfId="0" applyFont="1" applyBorder="1"/>
    <xf numFmtId="0" fontId="6" fillId="0" borderId="0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164" fontId="5" fillId="0" borderId="15" xfId="0" applyNumberFormat="1" applyFont="1" applyBorder="1"/>
    <xf numFmtId="164" fontId="5" fillId="0" borderId="14" xfId="0" applyNumberFormat="1" applyFont="1" applyBorder="1"/>
    <xf numFmtId="164" fontId="0" fillId="0" borderId="7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164" fontId="4" fillId="0" borderId="15" xfId="0" applyNumberFormat="1" applyFont="1" applyBorder="1"/>
    <xf numFmtId="164" fontId="4" fillId="0" borderId="14" xfId="0" applyNumberFormat="1" applyFont="1" applyBorder="1"/>
    <xf numFmtId="0" fontId="0" fillId="0" borderId="15" xfId="0" applyFont="1" applyBorder="1"/>
    <xf numFmtId="0" fontId="0" fillId="0" borderId="14" xfId="0" applyFont="1" applyBorder="1"/>
    <xf numFmtId="164" fontId="2" fillId="0" borderId="11" xfId="0" applyNumberFormat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5" fontId="0" fillId="0" borderId="13" xfId="1" applyNumberFormat="1" applyFont="1" applyBorder="1" applyAlignment="1">
      <alignment horizontal="center" vertical="center"/>
    </xf>
    <xf numFmtId="165" fontId="0" fillId="0" borderId="15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2" fillId="0" borderId="12" xfId="1" applyNumberFormat="1" applyFont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 2 and ROI 3</a:t>
            </a:r>
          </a:p>
        </c:rich>
      </c:tx>
      <c:layout>
        <c:manualLayout>
          <c:xMode val="edge"/>
          <c:yMode val="edge"/>
          <c:x val="0.42410474607121074"/>
          <c:y val="2.6915112226216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ROI-2 Original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Sheet1!$C$7:$C$17</c:f>
              <c:numCache>
                <c:formatCode>General</c:formatCode>
                <c:ptCount val="1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</c:numCache>
            </c:numRef>
          </c:cat>
          <c:val>
            <c:numRef>
              <c:f>Sheet1!$K$7:$K$17</c:f>
              <c:numCache>
                <c:formatCode>0.0000</c:formatCode>
                <c:ptCount val="11"/>
                <c:pt idx="0">
                  <c:v>42.797405876951267</c:v>
                </c:pt>
                <c:pt idx="1">
                  <c:v>42.866839693228535</c:v>
                </c:pt>
                <c:pt idx="2">
                  <c:v>35.769594089038463</c:v>
                </c:pt>
                <c:pt idx="3">
                  <c:v>40.289266826514229</c:v>
                </c:pt>
                <c:pt idx="4">
                  <c:v>46.818511291364793</c:v>
                </c:pt>
                <c:pt idx="5">
                  <c:v>40.368733632622472</c:v>
                </c:pt>
                <c:pt idx="6">
                  <c:v>35.6087112709587</c:v>
                </c:pt>
                <c:pt idx="7">
                  <c:v>27.696852787130499</c:v>
                </c:pt>
                <c:pt idx="8">
                  <c:v>26.838466738087902</c:v>
                </c:pt>
                <c:pt idx="9">
                  <c:v>32.526357854640629</c:v>
                </c:pt>
                <c:pt idx="10">
                  <c:v>55.923564347175407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E9F-47EF-9530-8B872CDE28A2}"/>
            </c:ext>
          </c:extLst>
        </c:ser>
        <c:ser>
          <c:idx val="2"/>
          <c:order val="1"/>
          <c:tx>
            <c:v>ROI-3 Original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Sheet1!$C$7:$C$17</c:f>
              <c:numCache>
                <c:formatCode>General</c:formatCode>
                <c:ptCount val="1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</c:numCache>
            </c:numRef>
          </c:cat>
          <c:val>
            <c:numRef>
              <c:f>Sheet1!$O$7:$O$17</c:f>
              <c:numCache>
                <c:formatCode>0.0000</c:formatCode>
                <c:ptCount val="11"/>
                <c:pt idx="0">
                  <c:v>40.221391941391893</c:v>
                </c:pt>
                <c:pt idx="1">
                  <c:v>40.748715913715898</c:v>
                </c:pt>
                <c:pt idx="2">
                  <c:v>33.497203907203868</c:v>
                </c:pt>
                <c:pt idx="3">
                  <c:v>38.0940679690679</c:v>
                </c:pt>
                <c:pt idx="4">
                  <c:v>48.361227106227069</c:v>
                </c:pt>
                <c:pt idx="5">
                  <c:v>39.665834350834302</c:v>
                </c:pt>
                <c:pt idx="6">
                  <c:v>34.145816035816004</c:v>
                </c:pt>
                <c:pt idx="7">
                  <c:v>26.824291819291769</c:v>
                </c:pt>
                <c:pt idx="8">
                  <c:v>26.356935286935268</c:v>
                </c:pt>
                <c:pt idx="9">
                  <c:v>35.979934879934831</c:v>
                </c:pt>
                <c:pt idx="10">
                  <c:v>56.624731379731294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E9F-47EF-9530-8B872CDE28A2}"/>
            </c:ext>
          </c:extLst>
        </c:ser>
        <c:ser>
          <c:idx val="5"/>
          <c:order val="3"/>
          <c:tx>
            <c:v>ROI-2 Duplicate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Sheet1!$C$7:$C$17</c:f>
              <c:numCache>
                <c:formatCode>General</c:formatCode>
                <c:ptCount val="1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</c:numCache>
            </c:numRef>
          </c:cat>
          <c:val>
            <c:numRef>
              <c:f>Sheet1!$AA$7:$AA$17</c:f>
              <c:numCache>
                <c:formatCode>0.0000</c:formatCode>
                <c:ptCount val="11"/>
                <c:pt idx="0">
                  <c:v>56.072745553174798</c:v>
                </c:pt>
                <c:pt idx="1">
                  <c:v>53.976673298642936</c:v>
                </c:pt>
                <c:pt idx="2">
                  <c:v>49.703380607420968</c:v>
                </c:pt>
                <c:pt idx="3">
                  <c:v>52.43548915076687</c:v>
                </c:pt>
                <c:pt idx="4">
                  <c:v>54.270788695031065</c:v>
                </c:pt>
                <c:pt idx="5">
                  <c:v>48.173428306635337</c:v>
                </c:pt>
                <c:pt idx="6">
                  <c:v>46.98276961534534</c:v>
                </c:pt>
                <c:pt idx="7">
                  <c:v>36.744375573920969</c:v>
                </c:pt>
                <c:pt idx="8">
                  <c:v>34.788969237832838</c:v>
                </c:pt>
                <c:pt idx="9">
                  <c:v>45.631481056354737</c:v>
                </c:pt>
                <c:pt idx="10">
                  <c:v>67.276374859708156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E9F-47EF-9530-8B872CDE28A2}"/>
            </c:ext>
          </c:extLst>
        </c:ser>
        <c:ser>
          <c:idx val="6"/>
          <c:order val="4"/>
          <c:tx>
            <c:v>ROI-3 Duplicate</c:v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Sheet1!$C$7:$C$17</c:f>
              <c:numCache>
                <c:formatCode>General</c:formatCode>
                <c:ptCount val="1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</c:numCache>
            </c:numRef>
          </c:cat>
          <c:val>
            <c:numRef>
              <c:f>Sheet1!$AE$7:$AE$17</c:f>
              <c:numCache>
                <c:formatCode>0.0000</c:formatCode>
                <c:ptCount val="11"/>
                <c:pt idx="0">
                  <c:v>55.923650793650729</c:v>
                </c:pt>
                <c:pt idx="1">
                  <c:v>57.519999999999932</c:v>
                </c:pt>
                <c:pt idx="2">
                  <c:v>48.14820309320303</c:v>
                </c:pt>
                <c:pt idx="3">
                  <c:v>54.233536833536796</c:v>
                </c:pt>
                <c:pt idx="4">
                  <c:v>50.751752136752067</c:v>
                </c:pt>
                <c:pt idx="5">
                  <c:v>50.496261701261666</c:v>
                </c:pt>
                <c:pt idx="6">
                  <c:v>46.266636141636099</c:v>
                </c:pt>
                <c:pt idx="7">
                  <c:v>35.103978428978401</c:v>
                </c:pt>
                <c:pt idx="8">
                  <c:v>33.023958078958032</c:v>
                </c:pt>
                <c:pt idx="9">
                  <c:v>43.18352055352053</c:v>
                </c:pt>
                <c:pt idx="10">
                  <c:v>64.283742368742324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E9F-47EF-9530-8B872CDE2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8709407"/>
        <c:axId val="18797919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v>ROI-4 Origina;</c:v>
                </c:tx>
                <c:spPr>
                  <a:ln w="285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Sheet1!$C$7:$C$17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400</c:v>
                      </c:pt>
                      <c:pt idx="1">
                        <c:v>410</c:v>
                      </c:pt>
                      <c:pt idx="2">
                        <c:v>420</c:v>
                      </c:pt>
                      <c:pt idx="3">
                        <c:v>430</c:v>
                      </c:pt>
                      <c:pt idx="4">
                        <c:v>440</c:v>
                      </c:pt>
                      <c:pt idx="5">
                        <c:v>450</c:v>
                      </c:pt>
                      <c:pt idx="6">
                        <c:v>460</c:v>
                      </c:pt>
                      <c:pt idx="7">
                        <c:v>470</c:v>
                      </c:pt>
                      <c:pt idx="8">
                        <c:v>480</c:v>
                      </c:pt>
                      <c:pt idx="9">
                        <c:v>490</c:v>
                      </c:pt>
                      <c:pt idx="10">
                        <c:v>500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Sheet1!$S$7:$S$17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43.6719708054626</c:v>
                      </c:pt>
                      <c:pt idx="1">
                        <c:v>42.714160047380098</c:v>
                      </c:pt>
                      <c:pt idx="2">
                        <c:v>34.720293048587841</c:v>
                      </c:pt>
                      <c:pt idx="3">
                        <c:v>39.486484171776269</c:v>
                      </c:pt>
                      <c:pt idx="4">
                        <c:v>49.795822591508703</c:v>
                      </c:pt>
                      <c:pt idx="5">
                        <c:v>40.681268290133737</c:v>
                      </c:pt>
                      <c:pt idx="6">
                        <c:v>33.771193329617205</c:v>
                      </c:pt>
                      <c:pt idx="7">
                        <c:v>25.025302803325868</c:v>
                      </c:pt>
                      <c:pt idx="8">
                        <c:v>22.721837548773635</c:v>
                      </c:pt>
                      <c:pt idx="9">
                        <c:v>28.355702457264936</c:v>
                      </c:pt>
                      <c:pt idx="10">
                        <c:v>41.212855060850934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3-3E9F-47EF-9530-8B872CDE28A2}"/>
                  </c:ext>
                </c:extLst>
              </c15:ser>
            </c15:filteredLineSeries>
            <c15:filteredLineSeries>
              <c15:ser>
                <c:idx val="7"/>
                <c:order val="5"/>
                <c:tx>
                  <c:v>ROI-4 Duplicate</c:v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Sheet1!$C$7:$C$17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400</c:v>
                      </c:pt>
                      <c:pt idx="1">
                        <c:v>410</c:v>
                      </c:pt>
                      <c:pt idx="2">
                        <c:v>420</c:v>
                      </c:pt>
                      <c:pt idx="3">
                        <c:v>430</c:v>
                      </c:pt>
                      <c:pt idx="4">
                        <c:v>440</c:v>
                      </c:pt>
                      <c:pt idx="5">
                        <c:v>450</c:v>
                      </c:pt>
                      <c:pt idx="6">
                        <c:v>460</c:v>
                      </c:pt>
                      <c:pt idx="7">
                        <c:v>470</c:v>
                      </c:pt>
                      <c:pt idx="8">
                        <c:v>480</c:v>
                      </c:pt>
                      <c:pt idx="9">
                        <c:v>490</c:v>
                      </c:pt>
                      <c:pt idx="10">
                        <c:v>500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Sheet1!$AI$7:$AI$17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55.137337130713433</c:v>
                      </c:pt>
                      <c:pt idx="1">
                        <c:v>54.868743612969105</c:v>
                      </c:pt>
                      <c:pt idx="2">
                        <c:v>46.095327886937902</c:v>
                      </c:pt>
                      <c:pt idx="3">
                        <c:v>51.599867033630574</c:v>
                      </c:pt>
                      <c:pt idx="4">
                        <c:v>57.645219307413534</c:v>
                      </c:pt>
                      <c:pt idx="5">
                        <c:v>51.559191808342568</c:v>
                      </c:pt>
                      <c:pt idx="6">
                        <c:v>43.73431258128943</c:v>
                      </c:pt>
                      <c:pt idx="7">
                        <c:v>32.226025408769964</c:v>
                      </c:pt>
                      <c:pt idx="8">
                        <c:v>28.975483962746136</c:v>
                      </c:pt>
                      <c:pt idx="9">
                        <c:v>35.750053709122938</c:v>
                      </c:pt>
                      <c:pt idx="10">
                        <c:v>51.001724498327697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E9F-47EF-9530-8B872CDE28A2}"/>
                  </c:ext>
                </c:extLst>
              </c15:ser>
            </c15:filteredLineSeries>
          </c:ext>
        </c:extLst>
      </c:lineChart>
      <c:catAx>
        <c:axId val="187870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791983"/>
        <c:crosses val="autoZero"/>
        <c:auto val="1"/>
        <c:lblAlgn val="ctr"/>
        <c:lblOffset val="100"/>
        <c:noMultiLvlLbl val="0"/>
      </c:catAx>
      <c:valAx>
        <c:axId val="1879791983"/>
        <c:scaling>
          <c:orientation val="minMax"/>
          <c:max val="7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70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 1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6"/>
          <c:tx>
            <c:v>ROI-1 Original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Sheet1!$E$25:$E$35</c:f>
              <c:numCache>
                <c:formatCode>General</c:formatCode>
                <c:ptCount val="1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</c:numCache>
            </c:numRef>
          </c:cat>
          <c:val>
            <c:numRef>
              <c:f>Sheet1!$G$7:$G$17</c:f>
              <c:numCache>
                <c:formatCode>0.0000</c:formatCode>
                <c:ptCount val="11"/>
                <c:pt idx="0">
                  <c:v>49.231096221849931</c:v>
                </c:pt>
                <c:pt idx="1">
                  <c:v>49.376687139400623</c:v>
                </c:pt>
                <c:pt idx="2">
                  <c:v>40.468226316768998</c:v>
                </c:pt>
                <c:pt idx="3">
                  <c:v>45.756787641913235</c:v>
                </c:pt>
                <c:pt idx="4">
                  <c:v>55.073353806067331</c:v>
                </c:pt>
                <c:pt idx="5">
                  <c:v>46.378358458961429</c:v>
                </c:pt>
                <c:pt idx="6">
                  <c:v>38.657349711520531</c:v>
                </c:pt>
                <c:pt idx="7">
                  <c:v>28.8503592034245</c:v>
                </c:pt>
                <c:pt idx="8">
                  <c:v>26.636246045039929</c:v>
                </c:pt>
                <c:pt idx="9">
                  <c:v>22.592996463800432</c:v>
                </c:pt>
                <c:pt idx="10">
                  <c:v>50.524308579936672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8CB-4709-8FEF-BA1B7DE2ACE3}"/>
            </c:ext>
          </c:extLst>
        </c:ser>
        <c:ser>
          <c:idx val="4"/>
          <c:order val="7"/>
          <c:tx>
            <c:v>RO1-1 Duplicate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Sheet1!$E$25:$E$35</c:f>
              <c:numCache>
                <c:formatCode>General</c:formatCode>
                <c:ptCount val="1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</c:numCache>
            </c:numRef>
          </c:cat>
          <c:val>
            <c:numRef>
              <c:f>Sheet1!$W$7:$W$17</c:f>
              <c:numCache>
                <c:formatCode>0.0000</c:formatCode>
                <c:ptCount val="11"/>
                <c:pt idx="0">
                  <c:v>68.319173646007755</c:v>
                </c:pt>
                <c:pt idx="1">
                  <c:v>66.906097152428771</c:v>
                </c:pt>
                <c:pt idx="2">
                  <c:v>60.20602828959607</c:v>
                </c:pt>
                <c:pt idx="3">
                  <c:v>65.043848873999607</c:v>
                </c:pt>
                <c:pt idx="4">
                  <c:v>62.111889075004598</c:v>
                </c:pt>
                <c:pt idx="5">
                  <c:v>59.201831379117728</c:v>
                </c:pt>
                <c:pt idx="6">
                  <c:v>55.536789503070906</c:v>
                </c:pt>
                <c:pt idx="7">
                  <c:v>41.647623301693592</c:v>
                </c:pt>
                <c:pt idx="8">
                  <c:v>38.112583286804373</c:v>
                </c:pt>
                <c:pt idx="9">
                  <c:v>48.250281034803599</c:v>
                </c:pt>
                <c:pt idx="10">
                  <c:v>70.24316955146098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A8CB-4709-8FEF-BA1B7DE2A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8709407"/>
        <c:axId val="1879791983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v>ROI-2 Original</c:v>
                </c:tx>
                <c:spPr>
                  <a:ln w="28575" cap="rnd">
                    <a:solidFill>
                      <a:schemeClr val="accent6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Sheet1!$E$25:$E$35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400</c:v>
                      </c:pt>
                      <c:pt idx="1">
                        <c:v>410</c:v>
                      </c:pt>
                      <c:pt idx="2">
                        <c:v>420</c:v>
                      </c:pt>
                      <c:pt idx="3">
                        <c:v>430</c:v>
                      </c:pt>
                      <c:pt idx="4">
                        <c:v>440</c:v>
                      </c:pt>
                      <c:pt idx="5">
                        <c:v>450</c:v>
                      </c:pt>
                      <c:pt idx="6">
                        <c:v>460</c:v>
                      </c:pt>
                      <c:pt idx="7">
                        <c:v>470</c:v>
                      </c:pt>
                      <c:pt idx="8">
                        <c:v>480</c:v>
                      </c:pt>
                      <c:pt idx="9">
                        <c:v>490</c:v>
                      </c:pt>
                      <c:pt idx="10">
                        <c:v>500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Sheet1!$K$7:$K$17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42.797405876951267</c:v>
                      </c:pt>
                      <c:pt idx="1">
                        <c:v>42.866839693228535</c:v>
                      </c:pt>
                      <c:pt idx="2">
                        <c:v>35.769594089038463</c:v>
                      </c:pt>
                      <c:pt idx="3">
                        <c:v>40.289266826514229</c:v>
                      </c:pt>
                      <c:pt idx="4">
                        <c:v>46.818511291364793</c:v>
                      </c:pt>
                      <c:pt idx="5">
                        <c:v>40.368733632622472</c:v>
                      </c:pt>
                      <c:pt idx="6">
                        <c:v>35.6087112709587</c:v>
                      </c:pt>
                      <c:pt idx="7">
                        <c:v>27.696852787130499</c:v>
                      </c:pt>
                      <c:pt idx="8">
                        <c:v>26.838466738087902</c:v>
                      </c:pt>
                      <c:pt idx="9">
                        <c:v>32.526357854640629</c:v>
                      </c:pt>
                      <c:pt idx="10">
                        <c:v>55.923564347175407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0-A8CB-4709-8FEF-BA1B7DE2ACE3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v>ROI-3 Original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Sheet1!$E$25:$E$35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400</c:v>
                      </c:pt>
                      <c:pt idx="1">
                        <c:v>410</c:v>
                      </c:pt>
                      <c:pt idx="2">
                        <c:v>420</c:v>
                      </c:pt>
                      <c:pt idx="3">
                        <c:v>430</c:v>
                      </c:pt>
                      <c:pt idx="4">
                        <c:v>440</c:v>
                      </c:pt>
                      <c:pt idx="5">
                        <c:v>450</c:v>
                      </c:pt>
                      <c:pt idx="6">
                        <c:v>460</c:v>
                      </c:pt>
                      <c:pt idx="7">
                        <c:v>470</c:v>
                      </c:pt>
                      <c:pt idx="8">
                        <c:v>480</c:v>
                      </c:pt>
                      <c:pt idx="9">
                        <c:v>490</c:v>
                      </c:pt>
                      <c:pt idx="10">
                        <c:v>500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Sheet1!$O$7:$O$17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40.221391941391893</c:v>
                      </c:pt>
                      <c:pt idx="1">
                        <c:v>40.748715913715898</c:v>
                      </c:pt>
                      <c:pt idx="2">
                        <c:v>33.497203907203868</c:v>
                      </c:pt>
                      <c:pt idx="3">
                        <c:v>38.0940679690679</c:v>
                      </c:pt>
                      <c:pt idx="4">
                        <c:v>48.361227106227069</c:v>
                      </c:pt>
                      <c:pt idx="5">
                        <c:v>39.665834350834302</c:v>
                      </c:pt>
                      <c:pt idx="6">
                        <c:v>34.145816035816004</c:v>
                      </c:pt>
                      <c:pt idx="7">
                        <c:v>26.824291819291769</c:v>
                      </c:pt>
                      <c:pt idx="8">
                        <c:v>26.356935286935268</c:v>
                      </c:pt>
                      <c:pt idx="9">
                        <c:v>35.979934879934831</c:v>
                      </c:pt>
                      <c:pt idx="10">
                        <c:v>56.624731379731294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8CB-4709-8FEF-BA1B7DE2ACE3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v>ROI-4 Origina;</c:v>
                </c:tx>
                <c:spPr>
                  <a:ln w="285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Sheet1!$E$25:$E$35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400</c:v>
                      </c:pt>
                      <c:pt idx="1">
                        <c:v>410</c:v>
                      </c:pt>
                      <c:pt idx="2">
                        <c:v>420</c:v>
                      </c:pt>
                      <c:pt idx="3">
                        <c:v>430</c:v>
                      </c:pt>
                      <c:pt idx="4">
                        <c:v>440</c:v>
                      </c:pt>
                      <c:pt idx="5">
                        <c:v>450</c:v>
                      </c:pt>
                      <c:pt idx="6">
                        <c:v>460</c:v>
                      </c:pt>
                      <c:pt idx="7">
                        <c:v>470</c:v>
                      </c:pt>
                      <c:pt idx="8">
                        <c:v>480</c:v>
                      </c:pt>
                      <c:pt idx="9">
                        <c:v>490</c:v>
                      </c:pt>
                      <c:pt idx="10">
                        <c:v>500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Sheet1!$S$7:$S$17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43.6719708054626</c:v>
                      </c:pt>
                      <c:pt idx="1">
                        <c:v>42.714160047380098</c:v>
                      </c:pt>
                      <c:pt idx="2">
                        <c:v>34.720293048587841</c:v>
                      </c:pt>
                      <c:pt idx="3">
                        <c:v>39.486484171776269</c:v>
                      </c:pt>
                      <c:pt idx="4">
                        <c:v>49.795822591508703</c:v>
                      </c:pt>
                      <c:pt idx="5">
                        <c:v>40.681268290133737</c:v>
                      </c:pt>
                      <c:pt idx="6">
                        <c:v>33.771193329617205</c:v>
                      </c:pt>
                      <c:pt idx="7">
                        <c:v>25.025302803325868</c:v>
                      </c:pt>
                      <c:pt idx="8">
                        <c:v>22.721837548773635</c:v>
                      </c:pt>
                      <c:pt idx="9">
                        <c:v>28.355702457264936</c:v>
                      </c:pt>
                      <c:pt idx="10">
                        <c:v>41.212855060850934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8CB-4709-8FEF-BA1B7DE2ACE3}"/>
                  </c:ext>
                </c:extLst>
              </c15:ser>
            </c15:filteredLineSeries>
            <c15:filteredLineSeries>
              <c15:ser>
                <c:idx val="5"/>
                <c:order val="3"/>
                <c:tx>
                  <c:v>ROI-2 Duplicate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Sheet1!$E$25:$E$35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400</c:v>
                      </c:pt>
                      <c:pt idx="1">
                        <c:v>410</c:v>
                      </c:pt>
                      <c:pt idx="2">
                        <c:v>420</c:v>
                      </c:pt>
                      <c:pt idx="3">
                        <c:v>430</c:v>
                      </c:pt>
                      <c:pt idx="4">
                        <c:v>440</c:v>
                      </c:pt>
                      <c:pt idx="5">
                        <c:v>450</c:v>
                      </c:pt>
                      <c:pt idx="6">
                        <c:v>460</c:v>
                      </c:pt>
                      <c:pt idx="7">
                        <c:v>470</c:v>
                      </c:pt>
                      <c:pt idx="8">
                        <c:v>480</c:v>
                      </c:pt>
                      <c:pt idx="9">
                        <c:v>490</c:v>
                      </c:pt>
                      <c:pt idx="10">
                        <c:v>500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Sheet1!$AA$7:$AA$17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56.072745553174798</c:v>
                      </c:pt>
                      <c:pt idx="1">
                        <c:v>53.976673298642936</c:v>
                      </c:pt>
                      <c:pt idx="2">
                        <c:v>49.703380607420968</c:v>
                      </c:pt>
                      <c:pt idx="3">
                        <c:v>52.43548915076687</c:v>
                      </c:pt>
                      <c:pt idx="4">
                        <c:v>54.270788695031065</c:v>
                      </c:pt>
                      <c:pt idx="5">
                        <c:v>48.173428306635337</c:v>
                      </c:pt>
                      <c:pt idx="6">
                        <c:v>46.98276961534534</c:v>
                      </c:pt>
                      <c:pt idx="7">
                        <c:v>36.744375573920969</c:v>
                      </c:pt>
                      <c:pt idx="8">
                        <c:v>34.788969237832838</c:v>
                      </c:pt>
                      <c:pt idx="9">
                        <c:v>45.631481056354737</c:v>
                      </c:pt>
                      <c:pt idx="10">
                        <c:v>67.276374859708156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8CB-4709-8FEF-BA1B7DE2ACE3}"/>
                  </c:ext>
                </c:extLst>
              </c15:ser>
            </c15:filteredLineSeries>
            <c15:filteredLineSeries>
              <c15:ser>
                <c:idx val="6"/>
                <c:order val="4"/>
                <c:tx>
                  <c:v>ROI-3 Duplicate</c:v>
                </c:tx>
                <c:spPr>
                  <a:ln w="28575" cap="rnd">
                    <a:solidFill>
                      <a:schemeClr val="tx1">
                        <a:lumMod val="75000"/>
                        <a:lumOff val="2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Sheet1!$E$25:$E$35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400</c:v>
                      </c:pt>
                      <c:pt idx="1">
                        <c:v>410</c:v>
                      </c:pt>
                      <c:pt idx="2">
                        <c:v>420</c:v>
                      </c:pt>
                      <c:pt idx="3">
                        <c:v>430</c:v>
                      </c:pt>
                      <c:pt idx="4">
                        <c:v>440</c:v>
                      </c:pt>
                      <c:pt idx="5">
                        <c:v>450</c:v>
                      </c:pt>
                      <c:pt idx="6">
                        <c:v>460</c:v>
                      </c:pt>
                      <c:pt idx="7">
                        <c:v>470</c:v>
                      </c:pt>
                      <c:pt idx="8">
                        <c:v>480</c:v>
                      </c:pt>
                      <c:pt idx="9">
                        <c:v>490</c:v>
                      </c:pt>
                      <c:pt idx="10">
                        <c:v>500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Sheet1!$AE$7:$AE$17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55.923650793650729</c:v>
                      </c:pt>
                      <c:pt idx="1">
                        <c:v>57.519999999999932</c:v>
                      </c:pt>
                      <c:pt idx="2">
                        <c:v>48.14820309320303</c:v>
                      </c:pt>
                      <c:pt idx="3">
                        <c:v>54.233536833536796</c:v>
                      </c:pt>
                      <c:pt idx="4">
                        <c:v>50.751752136752067</c:v>
                      </c:pt>
                      <c:pt idx="5">
                        <c:v>50.496261701261666</c:v>
                      </c:pt>
                      <c:pt idx="6">
                        <c:v>46.266636141636099</c:v>
                      </c:pt>
                      <c:pt idx="7">
                        <c:v>35.103978428978401</c:v>
                      </c:pt>
                      <c:pt idx="8">
                        <c:v>33.023958078958032</c:v>
                      </c:pt>
                      <c:pt idx="9">
                        <c:v>43.18352055352053</c:v>
                      </c:pt>
                      <c:pt idx="10">
                        <c:v>64.283742368742324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8CB-4709-8FEF-BA1B7DE2ACE3}"/>
                  </c:ext>
                </c:extLst>
              </c15:ser>
            </c15:filteredLineSeries>
            <c15:filteredLineSeries>
              <c15:ser>
                <c:idx val="7"/>
                <c:order val="5"/>
                <c:tx>
                  <c:v>ROI-4 Duplicate</c:v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Sheet1!$E$25:$E$35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400</c:v>
                      </c:pt>
                      <c:pt idx="1">
                        <c:v>410</c:v>
                      </c:pt>
                      <c:pt idx="2">
                        <c:v>420</c:v>
                      </c:pt>
                      <c:pt idx="3">
                        <c:v>430</c:v>
                      </c:pt>
                      <c:pt idx="4">
                        <c:v>440</c:v>
                      </c:pt>
                      <c:pt idx="5">
                        <c:v>450</c:v>
                      </c:pt>
                      <c:pt idx="6">
                        <c:v>460</c:v>
                      </c:pt>
                      <c:pt idx="7">
                        <c:v>470</c:v>
                      </c:pt>
                      <c:pt idx="8">
                        <c:v>480</c:v>
                      </c:pt>
                      <c:pt idx="9">
                        <c:v>490</c:v>
                      </c:pt>
                      <c:pt idx="10">
                        <c:v>500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Sheet1!$AI$7:$AI$17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55.137337130713433</c:v>
                      </c:pt>
                      <c:pt idx="1">
                        <c:v>54.868743612969105</c:v>
                      </c:pt>
                      <c:pt idx="2">
                        <c:v>46.095327886937902</c:v>
                      </c:pt>
                      <c:pt idx="3">
                        <c:v>51.599867033630574</c:v>
                      </c:pt>
                      <c:pt idx="4">
                        <c:v>57.645219307413534</c:v>
                      </c:pt>
                      <c:pt idx="5">
                        <c:v>51.559191808342568</c:v>
                      </c:pt>
                      <c:pt idx="6">
                        <c:v>43.73431258128943</c:v>
                      </c:pt>
                      <c:pt idx="7">
                        <c:v>32.226025408769964</c:v>
                      </c:pt>
                      <c:pt idx="8">
                        <c:v>28.975483962746136</c:v>
                      </c:pt>
                      <c:pt idx="9">
                        <c:v>35.750053709122938</c:v>
                      </c:pt>
                      <c:pt idx="10">
                        <c:v>51.001724498327697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8CB-4709-8FEF-BA1B7DE2ACE3}"/>
                  </c:ext>
                </c:extLst>
              </c15:ser>
            </c15:filteredLineSeries>
          </c:ext>
        </c:extLst>
      </c:lineChart>
      <c:catAx>
        <c:axId val="187870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791983"/>
        <c:crosses val="autoZero"/>
        <c:auto val="1"/>
        <c:lblAlgn val="ctr"/>
        <c:lblOffset val="100"/>
        <c:noMultiLvlLbl val="0"/>
      </c:catAx>
      <c:valAx>
        <c:axId val="1879791983"/>
        <c:scaling>
          <c:orientation val="minMax"/>
          <c:max val="7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70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921687048448561E-2"/>
          <c:y val="0.11133329571384179"/>
          <c:w val="0.89282928052783994"/>
          <c:h val="0.72019178522767346"/>
        </c:manualLayout>
      </c:layout>
      <c:lineChart>
        <c:grouping val="standard"/>
        <c:varyColors val="0"/>
        <c:ser>
          <c:idx val="3"/>
          <c:order val="2"/>
          <c:tx>
            <c:v>ROI-4 Original</c:v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Sheet1!$C$7:$C$17</c:f>
              <c:numCache>
                <c:formatCode>General</c:formatCode>
                <c:ptCount val="1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</c:numCache>
              <c:extLst xmlns:c15="http://schemas.microsoft.com/office/drawing/2012/chart"/>
            </c:numRef>
          </c:cat>
          <c:val>
            <c:numRef>
              <c:f>Sheet1!$S$7:$S$17</c:f>
              <c:numCache>
                <c:formatCode>0.0000</c:formatCode>
                <c:ptCount val="11"/>
                <c:pt idx="0">
                  <c:v>43.6719708054626</c:v>
                </c:pt>
                <c:pt idx="1">
                  <c:v>42.714160047380098</c:v>
                </c:pt>
                <c:pt idx="2">
                  <c:v>34.720293048587841</c:v>
                </c:pt>
                <c:pt idx="3">
                  <c:v>39.486484171776269</c:v>
                </c:pt>
                <c:pt idx="4">
                  <c:v>49.795822591508703</c:v>
                </c:pt>
                <c:pt idx="5">
                  <c:v>40.681268290133737</c:v>
                </c:pt>
                <c:pt idx="6">
                  <c:v>33.771193329617205</c:v>
                </c:pt>
                <c:pt idx="7">
                  <c:v>25.025302803325868</c:v>
                </c:pt>
                <c:pt idx="8">
                  <c:v>22.721837548773635</c:v>
                </c:pt>
                <c:pt idx="9">
                  <c:v>28.355702457264936</c:v>
                </c:pt>
                <c:pt idx="10">
                  <c:v>41.212855060850934</c:v>
                </c:pt>
              </c:numCache>
              <c:extLst xmlns:c15="http://schemas.microsoft.com/office/drawing/2012/chart"/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9446-4AC3-B77A-974E6FB2D8C1}"/>
            </c:ext>
          </c:extLst>
        </c:ser>
        <c:ser>
          <c:idx val="7"/>
          <c:order val="5"/>
          <c:tx>
            <c:v>ROI-4 Duplicate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Sheet1!$C$7:$C$17</c:f>
              <c:numCache>
                <c:formatCode>General</c:formatCode>
                <c:ptCount val="1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</c:numCache>
              <c:extLst xmlns:c15="http://schemas.microsoft.com/office/drawing/2012/chart"/>
            </c:numRef>
          </c:cat>
          <c:val>
            <c:numRef>
              <c:f>Sheet1!$AI$7:$AI$17</c:f>
              <c:numCache>
                <c:formatCode>0.0000</c:formatCode>
                <c:ptCount val="11"/>
                <c:pt idx="0">
                  <c:v>55.137337130713433</c:v>
                </c:pt>
                <c:pt idx="1">
                  <c:v>54.868743612969105</c:v>
                </c:pt>
                <c:pt idx="2">
                  <c:v>46.095327886937902</c:v>
                </c:pt>
                <c:pt idx="3">
                  <c:v>51.599867033630574</c:v>
                </c:pt>
                <c:pt idx="4">
                  <c:v>57.645219307413534</c:v>
                </c:pt>
                <c:pt idx="5">
                  <c:v>51.559191808342568</c:v>
                </c:pt>
                <c:pt idx="6">
                  <c:v>43.73431258128943</c:v>
                </c:pt>
                <c:pt idx="7">
                  <c:v>32.226025408769964</c:v>
                </c:pt>
                <c:pt idx="8">
                  <c:v>28.975483962746136</c:v>
                </c:pt>
                <c:pt idx="9">
                  <c:v>35.750053709122938</c:v>
                </c:pt>
                <c:pt idx="10">
                  <c:v>51.001724498327697</c:v>
                </c:pt>
              </c:numCache>
              <c:extLst xmlns:c15="http://schemas.microsoft.com/office/drawing/2012/chart"/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9446-4AC3-B77A-974E6FB2D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8709407"/>
        <c:axId val="1879791983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v>ROI-2 Original</c:v>
                </c:tx>
                <c:spPr>
                  <a:ln w="28575" cap="rnd">
                    <a:solidFill>
                      <a:schemeClr val="accent6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Sheet1!$C$7:$C$17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400</c:v>
                      </c:pt>
                      <c:pt idx="1">
                        <c:v>410</c:v>
                      </c:pt>
                      <c:pt idx="2">
                        <c:v>420</c:v>
                      </c:pt>
                      <c:pt idx="3">
                        <c:v>430</c:v>
                      </c:pt>
                      <c:pt idx="4">
                        <c:v>440</c:v>
                      </c:pt>
                      <c:pt idx="5">
                        <c:v>450</c:v>
                      </c:pt>
                      <c:pt idx="6">
                        <c:v>460</c:v>
                      </c:pt>
                      <c:pt idx="7">
                        <c:v>470</c:v>
                      </c:pt>
                      <c:pt idx="8">
                        <c:v>480</c:v>
                      </c:pt>
                      <c:pt idx="9">
                        <c:v>490</c:v>
                      </c:pt>
                      <c:pt idx="10">
                        <c:v>500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Sheet1!$K$7:$K$17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42.797405876951267</c:v>
                      </c:pt>
                      <c:pt idx="1">
                        <c:v>42.866839693228535</c:v>
                      </c:pt>
                      <c:pt idx="2">
                        <c:v>35.769594089038463</c:v>
                      </c:pt>
                      <c:pt idx="3">
                        <c:v>40.289266826514229</c:v>
                      </c:pt>
                      <c:pt idx="4">
                        <c:v>46.818511291364793</c:v>
                      </c:pt>
                      <c:pt idx="5">
                        <c:v>40.368733632622472</c:v>
                      </c:pt>
                      <c:pt idx="6">
                        <c:v>35.6087112709587</c:v>
                      </c:pt>
                      <c:pt idx="7">
                        <c:v>27.696852787130499</c:v>
                      </c:pt>
                      <c:pt idx="8">
                        <c:v>26.838466738087902</c:v>
                      </c:pt>
                      <c:pt idx="9">
                        <c:v>32.526357854640629</c:v>
                      </c:pt>
                      <c:pt idx="10">
                        <c:v>55.923564347175407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4-9446-4AC3-B77A-974E6FB2D8C1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v>ROI-3 Original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Sheet1!$C$7:$C$17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400</c:v>
                      </c:pt>
                      <c:pt idx="1">
                        <c:v>410</c:v>
                      </c:pt>
                      <c:pt idx="2">
                        <c:v>420</c:v>
                      </c:pt>
                      <c:pt idx="3">
                        <c:v>430</c:v>
                      </c:pt>
                      <c:pt idx="4">
                        <c:v>440</c:v>
                      </c:pt>
                      <c:pt idx="5">
                        <c:v>450</c:v>
                      </c:pt>
                      <c:pt idx="6">
                        <c:v>460</c:v>
                      </c:pt>
                      <c:pt idx="7">
                        <c:v>470</c:v>
                      </c:pt>
                      <c:pt idx="8">
                        <c:v>480</c:v>
                      </c:pt>
                      <c:pt idx="9">
                        <c:v>490</c:v>
                      </c:pt>
                      <c:pt idx="10">
                        <c:v>500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Sheet1!$O$7:$O$17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40.221391941391893</c:v>
                      </c:pt>
                      <c:pt idx="1">
                        <c:v>40.748715913715898</c:v>
                      </c:pt>
                      <c:pt idx="2">
                        <c:v>33.497203907203868</c:v>
                      </c:pt>
                      <c:pt idx="3">
                        <c:v>38.0940679690679</c:v>
                      </c:pt>
                      <c:pt idx="4">
                        <c:v>48.361227106227069</c:v>
                      </c:pt>
                      <c:pt idx="5">
                        <c:v>39.665834350834302</c:v>
                      </c:pt>
                      <c:pt idx="6">
                        <c:v>34.145816035816004</c:v>
                      </c:pt>
                      <c:pt idx="7">
                        <c:v>26.824291819291769</c:v>
                      </c:pt>
                      <c:pt idx="8">
                        <c:v>26.356935286935268</c:v>
                      </c:pt>
                      <c:pt idx="9">
                        <c:v>35.979934879934831</c:v>
                      </c:pt>
                      <c:pt idx="10">
                        <c:v>56.624731379731294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46-4AC3-B77A-974E6FB2D8C1}"/>
                  </c:ext>
                </c:extLst>
              </c15:ser>
            </c15:filteredLineSeries>
            <c15:filteredLineSeries>
              <c15:ser>
                <c:idx val="5"/>
                <c:order val="3"/>
                <c:tx>
                  <c:v>ROI-2 Duplicate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Sheet1!$C$7:$C$17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400</c:v>
                      </c:pt>
                      <c:pt idx="1">
                        <c:v>410</c:v>
                      </c:pt>
                      <c:pt idx="2">
                        <c:v>420</c:v>
                      </c:pt>
                      <c:pt idx="3">
                        <c:v>430</c:v>
                      </c:pt>
                      <c:pt idx="4">
                        <c:v>440</c:v>
                      </c:pt>
                      <c:pt idx="5">
                        <c:v>450</c:v>
                      </c:pt>
                      <c:pt idx="6">
                        <c:v>460</c:v>
                      </c:pt>
                      <c:pt idx="7">
                        <c:v>470</c:v>
                      </c:pt>
                      <c:pt idx="8">
                        <c:v>480</c:v>
                      </c:pt>
                      <c:pt idx="9">
                        <c:v>490</c:v>
                      </c:pt>
                      <c:pt idx="10">
                        <c:v>500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Sheet1!$AA$7:$AA$17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56.072745553174798</c:v>
                      </c:pt>
                      <c:pt idx="1">
                        <c:v>53.976673298642936</c:v>
                      </c:pt>
                      <c:pt idx="2">
                        <c:v>49.703380607420968</c:v>
                      </c:pt>
                      <c:pt idx="3">
                        <c:v>52.43548915076687</c:v>
                      </c:pt>
                      <c:pt idx="4">
                        <c:v>54.270788695031065</c:v>
                      </c:pt>
                      <c:pt idx="5">
                        <c:v>48.173428306635337</c:v>
                      </c:pt>
                      <c:pt idx="6">
                        <c:v>46.98276961534534</c:v>
                      </c:pt>
                      <c:pt idx="7">
                        <c:v>36.744375573920969</c:v>
                      </c:pt>
                      <c:pt idx="8">
                        <c:v>34.788969237832838</c:v>
                      </c:pt>
                      <c:pt idx="9">
                        <c:v>45.631481056354737</c:v>
                      </c:pt>
                      <c:pt idx="10">
                        <c:v>67.276374859708156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46-4AC3-B77A-974E6FB2D8C1}"/>
                  </c:ext>
                </c:extLst>
              </c15:ser>
            </c15:filteredLineSeries>
            <c15:filteredLineSeries>
              <c15:ser>
                <c:idx val="6"/>
                <c:order val="4"/>
                <c:tx>
                  <c:v>ROI-3 Duplicate</c:v>
                </c:tx>
                <c:spPr>
                  <a:ln w="28575" cap="rnd">
                    <a:solidFill>
                      <a:schemeClr val="tx1">
                        <a:lumMod val="75000"/>
                        <a:lumOff val="2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Sheet1!$C$7:$C$17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400</c:v>
                      </c:pt>
                      <c:pt idx="1">
                        <c:v>410</c:v>
                      </c:pt>
                      <c:pt idx="2">
                        <c:v>420</c:v>
                      </c:pt>
                      <c:pt idx="3">
                        <c:v>430</c:v>
                      </c:pt>
                      <c:pt idx="4">
                        <c:v>440</c:v>
                      </c:pt>
                      <c:pt idx="5">
                        <c:v>450</c:v>
                      </c:pt>
                      <c:pt idx="6">
                        <c:v>460</c:v>
                      </c:pt>
                      <c:pt idx="7">
                        <c:v>470</c:v>
                      </c:pt>
                      <c:pt idx="8">
                        <c:v>480</c:v>
                      </c:pt>
                      <c:pt idx="9">
                        <c:v>490</c:v>
                      </c:pt>
                      <c:pt idx="10">
                        <c:v>500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Sheet1!$AE$7:$AE$17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55.923650793650729</c:v>
                      </c:pt>
                      <c:pt idx="1">
                        <c:v>57.519999999999932</c:v>
                      </c:pt>
                      <c:pt idx="2">
                        <c:v>48.14820309320303</c:v>
                      </c:pt>
                      <c:pt idx="3">
                        <c:v>54.233536833536796</c:v>
                      </c:pt>
                      <c:pt idx="4">
                        <c:v>50.751752136752067</c:v>
                      </c:pt>
                      <c:pt idx="5">
                        <c:v>50.496261701261666</c:v>
                      </c:pt>
                      <c:pt idx="6">
                        <c:v>46.266636141636099</c:v>
                      </c:pt>
                      <c:pt idx="7">
                        <c:v>35.103978428978401</c:v>
                      </c:pt>
                      <c:pt idx="8">
                        <c:v>33.023958078958032</c:v>
                      </c:pt>
                      <c:pt idx="9">
                        <c:v>43.18352055352053</c:v>
                      </c:pt>
                      <c:pt idx="10">
                        <c:v>64.283742368742324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46-4AC3-B77A-974E6FB2D8C1}"/>
                  </c:ext>
                </c:extLst>
              </c15:ser>
            </c15:filteredLineSeries>
            <c15:filteredLineSeries>
              <c15:ser>
                <c:idx val="0"/>
                <c:order val="6"/>
                <c:tx>
                  <c:v>ROI-1 Original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Sheet1!$G$7:$G$17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49.231096221849931</c:v>
                      </c:pt>
                      <c:pt idx="1">
                        <c:v>49.376687139400623</c:v>
                      </c:pt>
                      <c:pt idx="2">
                        <c:v>40.468226316768998</c:v>
                      </c:pt>
                      <c:pt idx="3">
                        <c:v>45.756787641913235</c:v>
                      </c:pt>
                      <c:pt idx="4">
                        <c:v>55.073353806067331</c:v>
                      </c:pt>
                      <c:pt idx="5">
                        <c:v>46.378358458961429</c:v>
                      </c:pt>
                      <c:pt idx="6">
                        <c:v>38.657349711520531</c:v>
                      </c:pt>
                      <c:pt idx="7">
                        <c:v>28.8503592034245</c:v>
                      </c:pt>
                      <c:pt idx="8">
                        <c:v>26.636246045039929</c:v>
                      </c:pt>
                      <c:pt idx="9">
                        <c:v>22.592996463800432</c:v>
                      </c:pt>
                      <c:pt idx="10">
                        <c:v>50.524308579936672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46-4AC3-B77A-974E6FB2D8C1}"/>
                  </c:ext>
                </c:extLst>
              </c15:ser>
            </c15:filteredLineSeries>
            <c15:filteredLineSeries>
              <c15:ser>
                <c:idx val="4"/>
                <c:order val="7"/>
                <c:tx>
                  <c:v>RO1-1 Duplicate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Sheet1!$W$7:$W$17</c15:sqref>
                        </c15:formulaRef>
                      </c:ext>
                    </c:extLst>
                    <c:numCache>
                      <c:formatCode>0.0000</c:formatCode>
                      <c:ptCount val="11"/>
                      <c:pt idx="0">
                        <c:v>68.319173646007755</c:v>
                      </c:pt>
                      <c:pt idx="1">
                        <c:v>66.906097152428771</c:v>
                      </c:pt>
                      <c:pt idx="2">
                        <c:v>60.20602828959607</c:v>
                      </c:pt>
                      <c:pt idx="3">
                        <c:v>65.043848873999607</c:v>
                      </c:pt>
                      <c:pt idx="4">
                        <c:v>62.111889075004598</c:v>
                      </c:pt>
                      <c:pt idx="5">
                        <c:v>59.201831379117728</c:v>
                      </c:pt>
                      <c:pt idx="6">
                        <c:v>55.536789503070906</c:v>
                      </c:pt>
                      <c:pt idx="7">
                        <c:v>41.647623301693592</c:v>
                      </c:pt>
                      <c:pt idx="8">
                        <c:v>38.112583286804373</c:v>
                      </c:pt>
                      <c:pt idx="9">
                        <c:v>48.250281034803599</c:v>
                      </c:pt>
                      <c:pt idx="10">
                        <c:v>70.24316955146098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46-4AC3-B77A-974E6FB2D8C1}"/>
                  </c:ext>
                </c:extLst>
              </c15:ser>
            </c15:filteredLineSeries>
          </c:ext>
        </c:extLst>
      </c:lineChart>
      <c:catAx>
        <c:axId val="187870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791983"/>
        <c:crosses val="autoZero"/>
        <c:auto val="1"/>
        <c:lblAlgn val="ctr"/>
        <c:lblOffset val="100"/>
        <c:noMultiLvlLbl val="0"/>
      </c:catAx>
      <c:valAx>
        <c:axId val="1879791983"/>
        <c:scaling>
          <c:orientation val="minMax"/>
          <c:max val="7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70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715595</xdr:colOff>
      <xdr:row>20</xdr:row>
      <xdr:rowOff>157283</xdr:rowOff>
    </xdr:from>
    <xdr:to>
      <xdr:col>37</xdr:col>
      <xdr:colOff>107461</xdr:colOff>
      <xdr:row>40</xdr:row>
      <xdr:rowOff>180730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447F13-11EB-4A34-B81B-B5144E58F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391617</xdr:colOff>
      <xdr:row>21</xdr:row>
      <xdr:rowOff>190499</xdr:rowOff>
    </xdr:from>
    <xdr:to>
      <xdr:col>27</xdr:col>
      <xdr:colOff>276829</xdr:colOff>
      <xdr:row>42</xdr:row>
      <xdr:rowOff>28330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61A9C5-D2C5-4F99-9355-62196D324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662609</xdr:colOff>
      <xdr:row>40</xdr:row>
      <xdr:rowOff>143566</xdr:rowOff>
    </xdr:from>
    <xdr:to>
      <xdr:col>33</xdr:col>
      <xdr:colOff>455226</xdr:colOff>
      <xdr:row>61</xdr:row>
      <xdr:rowOff>51055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D10EFC-0BE7-4417-AD2C-B0FC44C0F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K56"/>
  <sheetViews>
    <sheetView tabSelected="1" topLeftCell="W31" zoomScaleNormal="100" workbookViewId="0">
      <selection activeCell="AJ56" sqref="AJ56"/>
    </sheetView>
  </sheetViews>
  <sheetFormatPr defaultRowHeight="14.5" x14ac:dyDescent="0.35"/>
  <cols>
    <col min="3" max="3" width="17.6328125" customWidth="1"/>
    <col min="4" max="4" width="12.54296875" customWidth="1"/>
    <col min="5" max="5" width="18.7265625" customWidth="1"/>
    <col min="6" max="6" width="11.6328125" customWidth="1"/>
    <col min="7" max="7" width="13.7265625" customWidth="1"/>
    <col min="8" max="8" width="11.1796875" customWidth="1"/>
    <col min="9" max="9" width="14.54296875" customWidth="1"/>
    <col min="10" max="10" width="14.453125" customWidth="1"/>
    <col min="11" max="11" width="15.453125" customWidth="1"/>
    <col min="12" max="12" width="10.81640625" customWidth="1"/>
    <col min="13" max="13" width="15.1796875" customWidth="1"/>
    <col min="14" max="15" width="10.81640625" customWidth="1"/>
    <col min="16" max="16" width="14.6328125" customWidth="1"/>
    <col min="17" max="19" width="11" customWidth="1"/>
    <col min="20" max="23" width="10.36328125" customWidth="1"/>
    <col min="24" max="27" width="10.90625" customWidth="1"/>
    <col min="28" max="31" width="10.81640625" customWidth="1"/>
    <col min="32" max="35" width="10.54296875" customWidth="1"/>
  </cols>
  <sheetData>
    <row r="3" spans="2:37" ht="15" thickBot="1" x14ac:dyDescent="0.4"/>
    <row r="4" spans="2:37" ht="16" thickBot="1" x14ac:dyDescent="0.4">
      <c r="B4" s="58" t="s">
        <v>7</v>
      </c>
      <c r="C4" s="64" t="s">
        <v>6</v>
      </c>
      <c r="D4" s="70" t="s">
        <v>4</v>
      </c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2"/>
      <c r="T4" s="67" t="s">
        <v>5</v>
      </c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9"/>
    </row>
    <row r="5" spans="2:37" ht="15" customHeight="1" thickBot="1" x14ac:dyDescent="0.4">
      <c r="B5" s="59"/>
      <c r="C5" s="65"/>
      <c r="D5" s="61" t="s">
        <v>0</v>
      </c>
      <c r="E5" s="62"/>
      <c r="F5" s="63"/>
      <c r="G5" s="6"/>
      <c r="H5" s="61" t="s">
        <v>1</v>
      </c>
      <c r="I5" s="62"/>
      <c r="J5" s="62"/>
      <c r="K5" s="63"/>
      <c r="L5" s="61" t="s">
        <v>2</v>
      </c>
      <c r="M5" s="62"/>
      <c r="N5" s="62"/>
      <c r="O5" s="63"/>
      <c r="P5" s="61" t="s">
        <v>3</v>
      </c>
      <c r="Q5" s="62"/>
      <c r="R5" s="62"/>
      <c r="S5" s="63"/>
      <c r="T5" s="61" t="s">
        <v>0</v>
      </c>
      <c r="U5" s="62"/>
      <c r="V5" s="62"/>
      <c r="W5" s="63"/>
      <c r="X5" s="61" t="s">
        <v>1</v>
      </c>
      <c r="Y5" s="62"/>
      <c r="Z5" s="62"/>
      <c r="AA5" s="63"/>
      <c r="AB5" s="61" t="s">
        <v>2</v>
      </c>
      <c r="AC5" s="62"/>
      <c r="AD5" s="62"/>
      <c r="AE5" s="63"/>
      <c r="AF5" s="61" t="s">
        <v>3</v>
      </c>
      <c r="AG5" s="62"/>
      <c r="AH5" s="62"/>
      <c r="AI5" s="63"/>
    </row>
    <row r="6" spans="2:37" ht="15" thickBot="1" x14ac:dyDescent="0.4">
      <c r="B6" s="60"/>
      <c r="C6" s="66"/>
      <c r="D6" s="5">
        <v>1</v>
      </c>
      <c r="E6" s="5">
        <v>2</v>
      </c>
      <c r="F6" s="5">
        <v>3</v>
      </c>
      <c r="G6" s="6" t="s">
        <v>8</v>
      </c>
      <c r="H6" s="5">
        <v>1</v>
      </c>
      <c r="I6" s="5">
        <v>2</v>
      </c>
      <c r="J6" s="5">
        <v>3</v>
      </c>
      <c r="K6" s="5" t="s">
        <v>8</v>
      </c>
      <c r="L6" s="5">
        <v>1</v>
      </c>
      <c r="M6" s="5">
        <v>2</v>
      </c>
      <c r="N6" s="5">
        <v>3</v>
      </c>
      <c r="O6" s="5" t="s">
        <v>8</v>
      </c>
      <c r="P6" s="5">
        <v>1</v>
      </c>
      <c r="Q6" s="5">
        <v>2</v>
      </c>
      <c r="R6" s="5">
        <v>3</v>
      </c>
      <c r="S6" s="5" t="s">
        <v>8</v>
      </c>
      <c r="T6" s="5">
        <v>1</v>
      </c>
      <c r="U6" s="5">
        <v>2</v>
      </c>
      <c r="V6" s="5">
        <v>3</v>
      </c>
      <c r="W6" s="5" t="s">
        <v>8</v>
      </c>
      <c r="X6" s="5">
        <v>1</v>
      </c>
      <c r="Y6" s="5">
        <v>2</v>
      </c>
      <c r="Z6" s="5">
        <v>3</v>
      </c>
      <c r="AA6" s="5" t="s">
        <v>8</v>
      </c>
      <c r="AB6" s="5">
        <v>1</v>
      </c>
      <c r="AC6" s="6">
        <v>2</v>
      </c>
      <c r="AD6" s="5">
        <v>3</v>
      </c>
      <c r="AE6" s="6" t="s">
        <v>8</v>
      </c>
      <c r="AF6" s="8">
        <v>1</v>
      </c>
      <c r="AG6" s="9">
        <v>2</v>
      </c>
      <c r="AH6" s="9">
        <v>3</v>
      </c>
      <c r="AI6" s="5" t="s">
        <v>8</v>
      </c>
    </row>
    <row r="7" spans="2:37" x14ac:dyDescent="0.35">
      <c r="B7" s="3">
        <v>200</v>
      </c>
      <c r="C7" s="7">
        <v>400</v>
      </c>
      <c r="D7" s="41">
        <v>43.508687883863701</v>
      </c>
      <c r="E7" s="41">
        <v>55.041898380792802</v>
      </c>
      <c r="F7" s="41">
        <v>49.142702400893299</v>
      </c>
      <c r="G7" s="10">
        <f>AVERAGE(D7:F7)</f>
        <v>49.231096221849931</v>
      </c>
      <c r="H7" s="27">
        <v>38.367009743903601</v>
      </c>
      <c r="I7" s="27">
        <v>48.262230894806599</v>
      </c>
      <c r="J7" s="27">
        <v>41.762976992143599</v>
      </c>
      <c r="K7" s="28">
        <f>AVERAGE(H7:J7)</f>
        <v>42.797405876951267</v>
      </c>
      <c r="L7" s="11">
        <v>39.596025641025598</v>
      </c>
      <c r="M7" s="26">
        <v>38.939175824175798</v>
      </c>
      <c r="N7" s="11">
        <v>42.128974358974297</v>
      </c>
      <c r="O7" s="11">
        <f>AVERAGE(L7:N7)</f>
        <v>40.221391941391893</v>
      </c>
      <c r="P7" s="11">
        <v>41.601971850613097</v>
      </c>
      <c r="Q7" s="11">
        <v>45.363181089743499</v>
      </c>
      <c r="R7" s="11">
        <v>44.050759476031203</v>
      </c>
      <c r="S7" s="25">
        <f>AVERAGE(P7:R7)</f>
        <v>43.6719708054626</v>
      </c>
      <c r="T7" s="12">
        <v>69.177303182579493</v>
      </c>
      <c r="U7" s="13">
        <v>68.8757509771077</v>
      </c>
      <c r="V7" s="14">
        <v>66.904466778336101</v>
      </c>
      <c r="W7" s="12">
        <f>AVERAGE(T7:V7)</f>
        <v>68.319173646007755</v>
      </c>
      <c r="X7" s="30">
        <v>49.777886185083098</v>
      </c>
      <c r="Y7" s="30">
        <v>62.7005024997449</v>
      </c>
      <c r="Z7" s="40">
        <v>55.739847974696403</v>
      </c>
      <c r="AA7" s="39">
        <f>AVERAGE(X7:Z7)</f>
        <v>56.072745553174798</v>
      </c>
      <c r="AB7" s="11">
        <v>54.536678876678799</v>
      </c>
      <c r="AC7" s="11">
        <v>56.131575091575002</v>
      </c>
      <c r="AD7" s="11">
        <v>57.102698412698402</v>
      </c>
      <c r="AE7" s="15">
        <f>AVERAGE(AB7:AD7)</f>
        <v>55.923650793650729</v>
      </c>
      <c r="AF7" s="28">
        <v>54.764449205685601</v>
      </c>
      <c r="AG7" s="15">
        <v>62.362088036510499</v>
      </c>
      <c r="AH7" s="15">
        <v>48.2854741499442</v>
      </c>
      <c r="AI7" s="11">
        <f>AVERAGE(AF7:AH7)</f>
        <v>55.137337130713433</v>
      </c>
      <c r="AK7" s="1"/>
    </row>
    <row r="8" spans="2:37" x14ac:dyDescent="0.35">
      <c r="B8" s="3">
        <v>50</v>
      </c>
      <c r="C8" s="7">
        <v>410</v>
      </c>
      <c r="D8" s="41">
        <v>42.875482970407496</v>
      </c>
      <c r="E8" s="41">
        <v>55.865438302624199</v>
      </c>
      <c r="F8" s="41">
        <v>49.389140145170202</v>
      </c>
      <c r="G8" s="10">
        <f t="shared" ref="G8:G17" si="0">AVERAGE(D8:F8)</f>
        <v>49.376687139400623</v>
      </c>
      <c r="H8" s="43">
        <v>38.026923273135303</v>
      </c>
      <c r="I8" s="43">
        <v>48.196580706050398</v>
      </c>
      <c r="J8" s="43">
        <v>42.377015100499897</v>
      </c>
      <c r="K8" s="11">
        <f t="shared" ref="K8:K17" si="1">AVERAGE(H8:J8)</f>
        <v>42.866839693228535</v>
      </c>
      <c r="L8">
        <v>40.213315018315001</v>
      </c>
      <c r="M8" s="11">
        <v>39.270256410256401</v>
      </c>
      <c r="N8" s="11">
        <v>42.7625763125763</v>
      </c>
      <c r="O8" s="11">
        <f t="shared" ref="O8:O16" si="2">AVERAGE(L8:N8)</f>
        <v>40.748715913715898</v>
      </c>
      <c r="P8" s="11">
        <v>40.362571418617598</v>
      </c>
      <c r="Q8" s="11">
        <v>44.575577445652101</v>
      </c>
      <c r="R8" s="11">
        <v>43.204331277870601</v>
      </c>
      <c r="S8" s="25">
        <f t="shared" ref="S8:S16" si="3">AVERAGE(P8:R8)</f>
        <v>42.714160047380098</v>
      </c>
      <c r="T8" s="16">
        <v>68.045281965382401</v>
      </c>
      <c r="U8" s="17">
        <v>66.915750977107706</v>
      </c>
      <c r="V8" s="18">
        <v>65.757258514796206</v>
      </c>
      <c r="W8" s="35">
        <f>AVERAGE(T8:V8)</f>
        <v>66.906097152428771</v>
      </c>
      <c r="X8" s="29">
        <v>50.807634425058602</v>
      </c>
      <c r="Y8" s="30">
        <v>56.431543975104503</v>
      </c>
      <c r="Z8" s="31">
        <v>54.690841495765703</v>
      </c>
      <c r="AA8" s="11">
        <f t="shared" ref="AA8:AA17" si="4">AVERAGE(X8:Z8)</f>
        <v>53.976673298642936</v>
      </c>
      <c r="AB8" s="15">
        <v>56.166300366300298</v>
      </c>
      <c r="AC8" s="15">
        <v>58.044969474969399</v>
      </c>
      <c r="AD8" s="2">
        <v>58.348730158730099</v>
      </c>
      <c r="AE8" s="15">
        <f t="shared" ref="AE8:AE16" si="5">AVERAGE(AB8:AD8)</f>
        <v>57.519999999999932</v>
      </c>
      <c r="AF8" s="11">
        <v>54.348157051282001</v>
      </c>
      <c r="AG8" s="15">
        <v>62.3945443143812</v>
      </c>
      <c r="AH8" s="15">
        <v>47.8635294732441</v>
      </c>
      <c r="AI8" s="11">
        <f t="shared" ref="AI8:AI16" si="6">AVERAGE(AF8:AH8)</f>
        <v>54.868743612969105</v>
      </c>
    </row>
    <row r="9" spans="2:37" x14ac:dyDescent="0.35">
      <c r="B9" s="3">
        <v>15</v>
      </c>
      <c r="C9" s="7">
        <f>C8+10</f>
        <v>420</v>
      </c>
      <c r="D9" s="41">
        <v>34.8641708542713</v>
      </c>
      <c r="E9" s="41">
        <v>46.116130653266303</v>
      </c>
      <c r="F9" s="41">
        <v>40.424377442769398</v>
      </c>
      <c r="G9" s="10">
        <f t="shared" si="0"/>
        <v>40.468226316768998</v>
      </c>
      <c r="H9" s="43">
        <v>30.9750535659626</v>
      </c>
      <c r="I9" s="43">
        <v>41.516650086725797</v>
      </c>
      <c r="J9" s="43">
        <v>34.817078614426997</v>
      </c>
      <c r="K9" s="11">
        <f t="shared" si="1"/>
        <v>35.769594089038463</v>
      </c>
      <c r="L9" s="11">
        <v>33.144133089133</v>
      </c>
      <c r="M9" s="11">
        <v>32.236855921855899</v>
      </c>
      <c r="N9" s="11">
        <v>35.1106227106227</v>
      </c>
      <c r="O9" s="11">
        <f t="shared" si="2"/>
        <v>33.497203907203868</v>
      </c>
      <c r="P9">
        <v>32.7529090022296</v>
      </c>
      <c r="Q9" s="11">
        <v>36.275471188684499</v>
      </c>
      <c r="R9" s="11">
        <v>35.132498954849403</v>
      </c>
      <c r="S9" s="25">
        <f>AVERAGE(P9:R9)</f>
        <v>34.720293048587841</v>
      </c>
      <c r="T9" s="16">
        <v>60.487336683416999</v>
      </c>
      <c r="U9" s="17">
        <v>61.263651591289701</v>
      </c>
      <c r="V9" s="18">
        <v>58.867096594081502</v>
      </c>
      <c r="W9" s="35">
        <f t="shared" ref="W9:W17" si="7">AVERAGE(T9:V9)</f>
        <v>60.20602828959607</v>
      </c>
      <c r="X9" s="29">
        <v>42.067697173757701</v>
      </c>
      <c r="Y9" s="30">
        <v>57.905067084991302</v>
      </c>
      <c r="Z9" s="31">
        <v>49.137377563513901</v>
      </c>
      <c r="AA9" s="11">
        <f t="shared" si="4"/>
        <v>49.703380607420968</v>
      </c>
      <c r="AB9" s="11">
        <v>46.486483516483503</v>
      </c>
      <c r="AC9" s="15">
        <v>48.323150183150098</v>
      </c>
      <c r="AD9" s="11">
        <v>49.634975579975503</v>
      </c>
      <c r="AE9" s="15">
        <f t="shared" si="5"/>
        <v>48.14820309320303</v>
      </c>
      <c r="AF9" s="11">
        <v>45.615149456521699</v>
      </c>
      <c r="AG9" s="15">
        <v>53.487941576086897</v>
      </c>
      <c r="AH9" s="15">
        <v>39.182892628205103</v>
      </c>
      <c r="AI9" s="11">
        <f t="shared" si="6"/>
        <v>46.095327886937902</v>
      </c>
    </row>
    <row r="10" spans="2:37" x14ac:dyDescent="0.35">
      <c r="B10" s="3">
        <v>10</v>
      </c>
      <c r="C10" s="7">
        <f t="shared" ref="C10:C17" si="8">C9+10</f>
        <v>430</v>
      </c>
      <c r="D10" s="41">
        <v>39.456962590731401</v>
      </c>
      <c r="E10" s="41">
        <v>52.0417532104969</v>
      </c>
      <c r="F10" s="41">
        <v>45.771647124511396</v>
      </c>
      <c r="G10" s="10">
        <f t="shared" si="0"/>
        <v>45.756787641913235</v>
      </c>
      <c r="H10" s="43">
        <v>35.063252474237302</v>
      </c>
      <c r="I10" s="43">
        <v>46.304943373125099</v>
      </c>
      <c r="J10" s="43">
        <v>39.499604632180301</v>
      </c>
      <c r="K10" s="11">
        <f t="shared" si="1"/>
        <v>40.289266826514229</v>
      </c>
      <c r="L10" s="11">
        <v>37.754108669108597</v>
      </c>
      <c r="M10" s="11">
        <v>36.651935286935199</v>
      </c>
      <c r="N10" s="11">
        <v>39.876159951159899</v>
      </c>
      <c r="O10" s="11">
        <f t="shared" si="2"/>
        <v>38.0940679690679</v>
      </c>
      <c r="P10" s="11">
        <v>37.337857964046798</v>
      </c>
      <c r="Q10" s="11">
        <v>41.180493136845001</v>
      </c>
      <c r="R10" s="11">
        <v>39.941101414437</v>
      </c>
      <c r="S10" s="25">
        <f t="shared" si="3"/>
        <v>39.486484171776269</v>
      </c>
      <c r="T10" s="16">
        <v>66.104673366834106</v>
      </c>
      <c r="U10" s="17">
        <v>65.411222780569503</v>
      </c>
      <c r="V10" s="18">
        <v>63.615650474595199</v>
      </c>
      <c r="W10" s="35">
        <f t="shared" si="7"/>
        <v>65.043848873999607</v>
      </c>
      <c r="X10" s="29">
        <v>47.489994643403698</v>
      </c>
      <c r="Y10" s="30">
        <v>56.689483215998301</v>
      </c>
      <c r="Z10" s="31">
        <v>53.126989592898603</v>
      </c>
      <c r="AA10" s="11">
        <f t="shared" si="4"/>
        <v>52.43548915076687</v>
      </c>
      <c r="AB10" s="11">
        <v>52.427967032966997</v>
      </c>
      <c r="AC10" s="15">
        <v>54.4977167277167</v>
      </c>
      <c r="AD10" s="11">
        <v>55.774926739926698</v>
      </c>
      <c r="AE10" s="15">
        <f t="shared" si="5"/>
        <v>54.233536833536796</v>
      </c>
      <c r="AF10" s="11">
        <v>51.121294070512803</v>
      </c>
      <c r="AG10" s="15">
        <v>59.0191698021181</v>
      </c>
      <c r="AH10" s="15">
        <v>44.659137228260803</v>
      </c>
      <c r="AI10" s="11">
        <f t="shared" si="6"/>
        <v>51.599867033630574</v>
      </c>
    </row>
    <row r="11" spans="2:37" x14ac:dyDescent="0.35">
      <c r="B11" s="3">
        <v>10</v>
      </c>
      <c r="C11" s="7">
        <f t="shared" si="8"/>
        <v>440</v>
      </c>
      <c r="D11" s="41">
        <v>50.522925739810098</v>
      </c>
      <c r="E11" s="41">
        <v>58.695332216638697</v>
      </c>
      <c r="F11" s="41">
        <v>56.001803461753198</v>
      </c>
      <c r="G11" s="10">
        <f t="shared" si="0"/>
        <v>55.073353806067331</v>
      </c>
      <c r="H11" s="43">
        <v>44.816338893990398</v>
      </c>
      <c r="I11" s="43">
        <v>49.295569329660204</v>
      </c>
      <c r="J11" s="43">
        <v>46.343625650443798</v>
      </c>
      <c r="K11" s="11">
        <f t="shared" si="1"/>
        <v>46.818511291364793</v>
      </c>
      <c r="L11" s="11">
        <v>47.423876678876603</v>
      </c>
      <c r="M11" s="11">
        <v>46.480891330891303</v>
      </c>
      <c r="N11" s="11">
        <v>51.178913308913302</v>
      </c>
      <c r="O11" s="11">
        <f t="shared" si="2"/>
        <v>48.361227106227069</v>
      </c>
      <c r="P11" s="11">
        <v>47.546901128762499</v>
      </c>
      <c r="Q11" s="11">
        <v>51.543443422519502</v>
      </c>
      <c r="R11" s="11">
        <v>50.2971232232441</v>
      </c>
      <c r="S11" s="25">
        <f t="shared" si="3"/>
        <v>49.795822591508703</v>
      </c>
      <c r="T11" s="16">
        <v>62.568464544946899</v>
      </c>
      <c r="U11" s="17">
        <v>61.828436627582299</v>
      </c>
      <c r="V11" s="18">
        <v>61.938766052484603</v>
      </c>
      <c r="W11" s="35">
        <f t="shared" si="7"/>
        <v>62.111889075004598</v>
      </c>
      <c r="X11" s="29">
        <v>48.911271808998997</v>
      </c>
      <c r="Y11" s="30">
        <v>60.4274563820018</v>
      </c>
      <c r="Z11" s="31">
        <v>53.473637894092398</v>
      </c>
      <c r="AA11" s="11">
        <f t="shared" si="4"/>
        <v>54.270788695031065</v>
      </c>
      <c r="AB11" s="11">
        <v>52.272185592185501</v>
      </c>
      <c r="AC11" s="15">
        <v>49.854560439560402</v>
      </c>
      <c r="AD11" s="11">
        <v>50.128510378510299</v>
      </c>
      <c r="AE11" s="15">
        <f t="shared" si="5"/>
        <v>50.751752136752067</v>
      </c>
      <c r="AF11" s="11">
        <v>56.9492318143812</v>
      </c>
      <c r="AG11" s="15">
        <v>61.871777452619803</v>
      </c>
      <c r="AH11" s="15">
        <v>54.114648655239598</v>
      </c>
      <c r="AI11" s="11">
        <f t="shared" si="6"/>
        <v>57.645219307413534</v>
      </c>
    </row>
    <row r="12" spans="2:37" x14ac:dyDescent="0.35">
      <c r="B12" s="3">
        <v>8</v>
      </c>
      <c r="C12" s="7">
        <f t="shared" si="8"/>
        <v>450</v>
      </c>
      <c r="D12" s="41">
        <v>40.349871580122802</v>
      </c>
      <c r="E12" s="41">
        <v>52.221697375767697</v>
      </c>
      <c r="F12" s="41">
        <v>46.563506420993797</v>
      </c>
      <c r="G12" s="10">
        <f t="shared" si="0"/>
        <v>46.378358458961429</v>
      </c>
      <c r="H12" s="43">
        <v>35.967943322109903</v>
      </c>
      <c r="I12" s="43">
        <v>44.354402611978301</v>
      </c>
      <c r="J12" s="43">
        <v>40.783854963779198</v>
      </c>
      <c r="K12" s="11">
        <f t="shared" si="1"/>
        <v>40.368733632622472</v>
      </c>
      <c r="L12" s="11">
        <v>39.574670329670298</v>
      </c>
      <c r="M12" s="11">
        <v>38.166654456654399</v>
      </c>
      <c r="N12" s="11">
        <v>41.256178266178203</v>
      </c>
      <c r="O12" s="11">
        <f t="shared" si="2"/>
        <v>39.665834350834302</v>
      </c>
      <c r="P12" s="11">
        <v>38.738786406075803</v>
      </c>
      <c r="Q12" s="11">
        <v>42.231966799052302</v>
      </c>
      <c r="R12" s="11">
        <v>41.073051665273098</v>
      </c>
      <c r="S12" s="25">
        <f t="shared" si="3"/>
        <v>40.681268290133737</v>
      </c>
      <c r="T12" s="16">
        <v>60.128364042434299</v>
      </c>
      <c r="U12" s="17">
        <v>58.8319877163595</v>
      </c>
      <c r="V12" s="18">
        <v>58.645142378559399</v>
      </c>
      <c r="W12" s="35">
        <f t="shared" si="7"/>
        <v>59.201831379117728</v>
      </c>
      <c r="X12" s="29">
        <v>47.165435924905601</v>
      </c>
      <c r="Y12" s="30">
        <v>49.001122334455602</v>
      </c>
      <c r="Z12" s="31">
        <v>48.353726660544801</v>
      </c>
      <c r="AA12" s="11">
        <f t="shared" si="4"/>
        <v>48.173428306635337</v>
      </c>
      <c r="AB12" s="11">
        <v>50.831611721611701</v>
      </c>
      <c r="AC12" s="15">
        <v>51.419413919413898</v>
      </c>
      <c r="AD12" s="11">
        <v>49.237759462759399</v>
      </c>
      <c r="AE12" s="15">
        <f t="shared" si="5"/>
        <v>50.496261701261666</v>
      </c>
      <c r="AF12" s="2">
        <v>51.0843305811036</v>
      </c>
      <c r="AG12" s="15">
        <v>57.567682204570701</v>
      </c>
      <c r="AH12" s="15">
        <v>46.025562639353403</v>
      </c>
      <c r="AI12" s="11">
        <f>AVERAGE(AF12:AH12)</f>
        <v>51.559191808342568</v>
      </c>
    </row>
    <row r="13" spans="2:37" x14ac:dyDescent="0.35">
      <c r="B13" s="3">
        <v>8</v>
      </c>
      <c r="C13" s="7">
        <f t="shared" si="8"/>
        <v>460</v>
      </c>
      <c r="D13" s="41">
        <v>33.576448911222698</v>
      </c>
      <c r="E13" s="41">
        <v>43.642054718034601</v>
      </c>
      <c r="F13" s="41">
        <v>38.753545505304302</v>
      </c>
      <c r="G13" s="10">
        <f t="shared" si="0"/>
        <v>38.657349711520531</v>
      </c>
      <c r="H13" s="43">
        <v>30.5604593918987</v>
      </c>
      <c r="I13" s="43">
        <v>41.421462095704499</v>
      </c>
      <c r="J13" s="43">
        <v>34.844212325272899</v>
      </c>
      <c r="K13" s="11">
        <f t="shared" si="1"/>
        <v>35.6087112709587</v>
      </c>
      <c r="L13" s="11">
        <v>34.295274725274702</v>
      </c>
      <c r="M13" s="11">
        <v>32.8742368742368</v>
      </c>
      <c r="N13" s="11">
        <v>35.267936507936497</v>
      </c>
      <c r="O13" s="11">
        <f t="shared" si="2"/>
        <v>34.145816035816004</v>
      </c>
      <c r="P13" s="11">
        <v>32.255378170289802</v>
      </c>
      <c r="Q13" s="11">
        <v>34.957122700668897</v>
      </c>
      <c r="R13" s="11">
        <v>34.101079117892901</v>
      </c>
      <c r="S13" s="25">
        <f t="shared" si="3"/>
        <v>33.771193329617205</v>
      </c>
      <c r="T13" s="16">
        <v>56.1337967615857</v>
      </c>
      <c r="U13" s="17">
        <v>56.102412060301504</v>
      </c>
      <c r="V13" s="18">
        <v>54.374159687325502</v>
      </c>
      <c r="W13" s="35">
        <f t="shared" si="7"/>
        <v>55.536789503070906</v>
      </c>
      <c r="X13" s="29">
        <v>40.687232170186697</v>
      </c>
      <c r="Y13" s="30">
        <v>52.981392204876997</v>
      </c>
      <c r="Z13" s="31">
        <v>47.279684470972299</v>
      </c>
      <c r="AA13" s="11">
        <f t="shared" si="4"/>
        <v>46.98276961534534</v>
      </c>
      <c r="AB13" s="11">
        <v>44.315512820512801</v>
      </c>
      <c r="AC13" s="15">
        <v>46.359438339438299</v>
      </c>
      <c r="AD13" s="11">
        <v>48.124957264957203</v>
      </c>
      <c r="AE13" s="15">
        <f t="shared" si="5"/>
        <v>46.266636141636099</v>
      </c>
      <c r="AF13" s="11">
        <v>43.332314311594203</v>
      </c>
      <c r="AG13" s="15">
        <v>49.593397261705597</v>
      </c>
      <c r="AH13" s="15">
        <v>38.277226170568497</v>
      </c>
      <c r="AI13" s="11">
        <f t="shared" si="6"/>
        <v>43.73431258128943</v>
      </c>
    </row>
    <row r="14" spans="2:37" x14ac:dyDescent="0.35">
      <c r="B14" s="3">
        <v>8</v>
      </c>
      <c r="C14" s="7">
        <f t="shared" si="8"/>
        <v>470</v>
      </c>
      <c r="D14" s="41">
        <v>25.101675041876</v>
      </c>
      <c r="E14" s="41">
        <v>32.485270798436602</v>
      </c>
      <c r="F14" s="41">
        <v>28.9641317699609</v>
      </c>
      <c r="G14" s="10">
        <f t="shared" si="0"/>
        <v>28.8503592034245</v>
      </c>
      <c r="H14" s="43">
        <v>23.617602795633001</v>
      </c>
      <c r="I14" s="43">
        <v>32.361697785940201</v>
      </c>
      <c r="J14" s="43">
        <v>27.111257779818299</v>
      </c>
      <c r="K14" s="11">
        <f t="shared" si="1"/>
        <v>27.696852787130499</v>
      </c>
      <c r="L14" s="11">
        <v>27.174072039072001</v>
      </c>
      <c r="M14" s="11">
        <v>25.845067155067099</v>
      </c>
      <c r="N14" s="11">
        <v>27.4537362637362</v>
      </c>
      <c r="O14" s="11">
        <f t="shared" si="2"/>
        <v>26.824291819291769</v>
      </c>
      <c r="P14" s="11">
        <v>23.966337444258599</v>
      </c>
      <c r="Q14" s="11">
        <v>25.822607476309901</v>
      </c>
      <c r="R14" s="11">
        <v>25.2869634894091</v>
      </c>
      <c r="S14" s="25">
        <f t="shared" si="3"/>
        <v>25.025302803325868</v>
      </c>
      <c r="T14" s="16">
        <v>41.744232272473397</v>
      </c>
      <c r="U14" s="17">
        <v>42.227883863763203</v>
      </c>
      <c r="V14" s="18">
        <v>40.970753768844197</v>
      </c>
      <c r="W14" s="35">
        <f t="shared" si="7"/>
        <v>41.647623301693592</v>
      </c>
      <c r="X14" s="29">
        <v>30.979906387103298</v>
      </c>
      <c r="Y14" s="30">
        <v>42.249445209672402</v>
      </c>
      <c r="Z14" s="31">
        <v>37.0037751249872</v>
      </c>
      <c r="AA14" s="11">
        <f t="shared" si="4"/>
        <v>36.744375573920969</v>
      </c>
      <c r="AB14" s="11">
        <v>33.463827838827797</v>
      </c>
      <c r="AC14" s="15">
        <v>35.163186813186798</v>
      </c>
      <c r="AD14" s="11">
        <v>36.684920634920601</v>
      </c>
      <c r="AE14" s="15">
        <f t="shared" si="5"/>
        <v>35.103978428978401</v>
      </c>
      <c r="AF14" s="11">
        <v>31.8756575738573</v>
      </c>
      <c r="AG14" s="15">
        <v>36.454762402452602</v>
      </c>
      <c r="AH14" s="15">
        <v>28.34765625</v>
      </c>
      <c r="AI14" s="11">
        <f t="shared" si="6"/>
        <v>32.226025408769964</v>
      </c>
    </row>
    <row r="15" spans="2:37" x14ac:dyDescent="0.35">
      <c r="B15" s="3">
        <v>10</v>
      </c>
      <c r="C15" s="7">
        <f>C14+10</f>
        <v>480</v>
      </c>
      <c r="D15" s="41">
        <v>23.249190396426499</v>
      </c>
      <c r="E15" s="41">
        <v>29.8745951982132</v>
      </c>
      <c r="F15" s="41">
        <v>26.784952540480099</v>
      </c>
      <c r="G15" s="10">
        <f t="shared" si="0"/>
        <v>26.636246045039929</v>
      </c>
      <c r="H15" s="43">
        <v>22.854198551168199</v>
      </c>
      <c r="I15" s="43">
        <v>31.328550658096098</v>
      </c>
      <c r="J15" s="43">
        <v>26.332651004999398</v>
      </c>
      <c r="K15" s="11">
        <f t="shared" si="1"/>
        <v>26.838466738087902</v>
      </c>
      <c r="L15" s="11">
        <v>26.935750915750901</v>
      </c>
      <c r="M15" s="11">
        <v>25.4208852258852</v>
      </c>
      <c r="N15" s="11">
        <v>26.7141697191697</v>
      </c>
      <c r="O15" s="11">
        <f t="shared" si="2"/>
        <v>26.356935286935268</v>
      </c>
      <c r="P15" s="11">
        <v>21.753148515886199</v>
      </c>
      <c r="Q15" s="11">
        <v>23.3793635033444</v>
      </c>
      <c r="R15" s="11">
        <v>23.033000627090299</v>
      </c>
      <c r="S15" s="25">
        <f t="shared" si="3"/>
        <v>22.721837548773635</v>
      </c>
      <c r="T15" s="16">
        <v>38.264355108877702</v>
      </c>
      <c r="U15" s="17">
        <v>38.5527526521496</v>
      </c>
      <c r="V15" s="18">
        <v>37.520642099385803</v>
      </c>
      <c r="W15" s="35">
        <f t="shared" si="7"/>
        <v>38.112583286804373</v>
      </c>
      <c r="X15" s="29">
        <v>29.319131976328901</v>
      </c>
      <c r="Y15" s="30">
        <v>39.785385419855103</v>
      </c>
      <c r="Z15" s="31">
        <v>35.262390317314498</v>
      </c>
      <c r="AA15" s="11">
        <f t="shared" si="4"/>
        <v>34.788969237832838</v>
      </c>
      <c r="AB15" s="11">
        <v>31.314096459096401</v>
      </c>
      <c r="AC15" s="15">
        <v>33.0535531135531</v>
      </c>
      <c r="AD15" s="11">
        <v>34.704224664224597</v>
      </c>
      <c r="AE15" s="15">
        <f t="shared" si="5"/>
        <v>33.023958078958032</v>
      </c>
      <c r="AF15" s="11">
        <v>28.646199136008899</v>
      </c>
      <c r="AG15" s="15">
        <v>32.6794654055183</v>
      </c>
      <c r="AH15" s="15">
        <v>25.600787346711201</v>
      </c>
      <c r="AI15" s="11">
        <f t="shared" si="6"/>
        <v>28.975483962746136</v>
      </c>
    </row>
    <row r="16" spans="2:37" x14ac:dyDescent="0.35">
      <c r="B16" s="3">
        <v>15</v>
      </c>
      <c r="C16" s="7">
        <f t="shared" si="8"/>
        <v>490</v>
      </c>
      <c r="D16" s="41">
        <v>19.765242881071998</v>
      </c>
      <c r="E16" s="41">
        <v>25.261373534338301</v>
      </c>
      <c r="F16" s="41">
        <v>22.752372975991001</v>
      </c>
      <c r="G16" s="10">
        <f t="shared" si="0"/>
        <v>22.592996463800432</v>
      </c>
      <c r="H16" s="43">
        <v>30.939087848178701</v>
      </c>
      <c r="I16" s="43">
        <v>30.939087848178701</v>
      </c>
      <c r="J16" s="43">
        <v>35.7008978675645</v>
      </c>
      <c r="K16" s="11">
        <f t="shared" si="1"/>
        <v>32.526357854640629</v>
      </c>
      <c r="L16" s="11">
        <v>37.042435897435901</v>
      </c>
      <c r="M16" s="11">
        <v>34.7693467643467</v>
      </c>
      <c r="N16" s="11">
        <v>36.128021978021899</v>
      </c>
      <c r="O16" s="11">
        <f t="shared" si="2"/>
        <v>35.979934879934831</v>
      </c>
      <c r="P16" s="11">
        <v>27.149195234113702</v>
      </c>
      <c r="Q16" s="11">
        <v>29.078473383500501</v>
      </c>
      <c r="R16" s="11">
        <v>28.839438754180598</v>
      </c>
      <c r="S16" s="25">
        <f t="shared" si="3"/>
        <v>28.355702457264936</v>
      </c>
      <c r="T16" s="16">
        <v>48.490876605248403</v>
      </c>
      <c r="U16" s="17">
        <v>48.716281407035098</v>
      </c>
      <c r="V16" s="18">
        <v>47.543685092127298</v>
      </c>
      <c r="W16" s="35">
        <f t="shared" si="7"/>
        <v>48.250281034803599</v>
      </c>
      <c r="X16" s="29">
        <v>38.625146668707202</v>
      </c>
      <c r="Y16" s="30">
        <v>51.761172329354103</v>
      </c>
      <c r="Z16" s="31">
        <v>46.508124171002898</v>
      </c>
      <c r="AA16" s="11">
        <f t="shared" si="4"/>
        <v>45.631481056354737</v>
      </c>
      <c r="AB16" s="11">
        <v>40.790262515262498</v>
      </c>
      <c r="AC16" s="11">
        <v>43.236862026861999</v>
      </c>
      <c r="AD16" s="11">
        <v>45.523437118437101</v>
      </c>
      <c r="AE16" s="15">
        <f t="shared" si="5"/>
        <v>43.18352055352053</v>
      </c>
      <c r="AF16" s="11">
        <v>35.333686071627596</v>
      </c>
      <c r="AG16" s="15">
        <v>40.237079326923002</v>
      </c>
      <c r="AH16" s="15">
        <v>31.6793957288182</v>
      </c>
      <c r="AI16" s="11">
        <f t="shared" si="6"/>
        <v>35.750053709122938</v>
      </c>
    </row>
    <row r="17" spans="2:35" ht="15" thickBot="1" x14ac:dyDescent="0.4">
      <c r="B17" s="4">
        <v>20</v>
      </c>
      <c r="C17" s="8">
        <f t="shared" si="8"/>
        <v>500</v>
      </c>
      <c r="D17" s="42">
        <v>44.461998883305398</v>
      </c>
      <c r="E17" s="42">
        <v>56.190435510887703</v>
      </c>
      <c r="F17" s="42">
        <v>50.920491345616902</v>
      </c>
      <c r="G17" s="19">
        <f t="shared" si="0"/>
        <v>50.524308579936672</v>
      </c>
      <c r="H17" s="44">
        <v>48.653485613712803</v>
      </c>
      <c r="I17" s="44">
        <v>63.381816906438097</v>
      </c>
      <c r="J17" s="44">
        <v>55.735390521375301</v>
      </c>
      <c r="K17" s="20">
        <f t="shared" si="1"/>
        <v>55.923564347175407</v>
      </c>
      <c r="L17" s="20">
        <v>58.639120879120803</v>
      </c>
      <c r="M17" s="20">
        <v>54.853980463980399</v>
      </c>
      <c r="N17" s="20">
        <v>56.381092796092702</v>
      </c>
      <c r="O17" s="20">
        <f>AVERAGE(L17:N17)</f>
        <v>56.624731379731294</v>
      </c>
      <c r="P17" s="20">
        <v>39.426800271739097</v>
      </c>
      <c r="Q17" s="20">
        <v>42.123401790691098</v>
      </c>
      <c r="R17" s="20">
        <v>42.088363120122601</v>
      </c>
      <c r="S17" s="37">
        <f>AVERAGE(P17:R17)</f>
        <v>41.212855060850934</v>
      </c>
      <c r="T17" s="21">
        <v>70.830150753768805</v>
      </c>
      <c r="U17" s="22">
        <v>70.740145170295904</v>
      </c>
      <c r="V17" s="23">
        <v>69.159212730318202</v>
      </c>
      <c r="W17" s="36">
        <f t="shared" si="7"/>
        <v>70.24316955146098</v>
      </c>
      <c r="X17" s="32">
        <v>58.653536628915397</v>
      </c>
      <c r="Y17" s="33">
        <v>74.482284970921299</v>
      </c>
      <c r="Z17" s="34">
        <v>68.693302979287793</v>
      </c>
      <c r="AA17" s="20">
        <f t="shared" si="4"/>
        <v>67.276374859708156</v>
      </c>
      <c r="AB17" s="20">
        <v>61.128510378510299</v>
      </c>
      <c r="AC17" s="24">
        <v>64.615769230769203</v>
      </c>
      <c r="AD17" s="20">
        <v>67.106947496947498</v>
      </c>
      <c r="AE17" s="24">
        <f>AVERAGE(AB17:AD17)</f>
        <v>64.283742368742324</v>
      </c>
      <c r="AF17" s="20">
        <v>50.393956417223997</v>
      </c>
      <c r="AG17" s="24">
        <v>57.324118589743499</v>
      </c>
      <c r="AH17" s="24">
        <v>45.287098488015602</v>
      </c>
      <c r="AI17" s="20">
        <f>AVERAGE(AF17:AH17)</f>
        <v>51.001724498327697</v>
      </c>
    </row>
    <row r="22" spans="2:35" ht="15" thickBot="1" x14ac:dyDescent="0.4"/>
    <row r="23" spans="2:35" ht="16" thickBot="1" x14ac:dyDescent="0.4">
      <c r="E23" s="58" t="s">
        <v>6</v>
      </c>
      <c r="F23" s="75" t="s">
        <v>11</v>
      </c>
      <c r="G23" s="76"/>
      <c r="H23" s="73" t="s">
        <v>12</v>
      </c>
      <c r="I23" s="74"/>
      <c r="J23" s="70" t="s">
        <v>13</v>
      </c>
      <c r="K23" s="72"/>
      <c r="L23" s="77" t="s">
        <v>14</v>
      </c>
      <c r="M23" s="78"/>
    </row>
    <row r="24" spans="2:35" ht="15" thickBot="1" x14ac:dyDescent="0.4">
      <c r="E24" s="60"/>
      <c r="F24" s="52" t="s">
        <v>9</v>
      </c>
      <c r="G24" s="5" t="s">
        <v>10</v>
      </c>
      <c r="H24" s="51" t="s">
        <v>9</v>
      </c>
      <c r="I24" s="5" t="s">
        <v>10</v>
      </c>
      <c r="J24" s="5" t="s">
        <v>9</v>
      </c>
      <c r="K24" s="5" t="s">
        <v>10</v>
      </c>
      <c r="L24" s="5" t="s">
        <v>9</v>
      </c>
      <c r="M24" s="9" t="s">
        <v>10</v>
      </c>
    </row>
    <row r="25" spans="2:35" x14ac:dyDescent="0.35">
      <c r="E25" s="3">
        <v>400</v>
      </c>
      <c r="F25" s="46">
        <f>W7-G7</f>
        <v>19.088077424157824</v>
      </c>
      <c r="G25" s="47">
        <f>F25/((G7+W7)/2)</f>
        <v>0.32476450195504258</v>
      </c>
      <c r="H25" s="28">
        <f t="shared" ref="H25:H35" si="9">AA7-K7</f>
        <v>13.275339676223531</v>
      </c>
      <c r="I25" s="47">
        <f t="shared" ref="I25:I35" si="10">H25/((K7+AA7)/2)</f>
        <v>0.26854089903170697</v>
      </c>
      <c r="J25" s="25">
        <f t="shared" ref="J25:J35" si="11">AE7-O7</f>
        <v>15.702258852258836</v>
      </c>
      <c r="K25" s="47">
        <f t="shared" ref="K25:K35" si="12">J25/((O7+AE7)/2)</f>
        <v>0.32663688954887177</v>
      </c>
      <c r="L25" s="11">
        <f t="shared" ref="L25:L35" si="13">AI7-S7</f>
        <v>11.465366325250834</v>
      </c>
      <c r="M25" s="55">
        <f t="shared" ref="M25:M35" si="14">L25/((S7+AI7)/2)</f>
        <v>0.23207057239297066</v>
      </c>
    </row>
    <row r="26" spans="2:35" x14ac:dyDescent="0.35">
      <c r="E26" s="3">
        <v>410</v>
      </c>
      <c r="F26" s="38">
        <f t="shared" ref="F26:F34" si="15">W8-G8</f>
        <v>17.529410013028148</v>
      </c>
      <c r="G26" s="48">
        <f t="shared" ref="G26:G34" si="16">F26/((G8+W8)/2)</f>
        <v>0.301496220954521</v>
      </c>
      <c r="H26" s="11">
        <f t="shared" si="9"/>
        <v>11.109833605414401</v>
      </c>
      <c r="I26" s="48">
        <f t="shared" si="10"/>
        <v>0.2294388805649151</v>
      </c>
      <c r="J26" s="25">
        <f t="shared" si="11"/>
        <v>16.771284086284034</v>
      </c>
      <c r="K26" s="48">
        <f t="shared" si="12"/>
        <v>0.34133516308506456</v>
      </c>
      <c r="L26" s="11">
        <f t="shared" si="13"/>
        <v>12.154583565589007</v>
      </c>
      <c r="M26" s="56">
        <f t="shared" si="14"/>
        <v>0.24911297183561409</v>
      </c>
    </row>
    <row r="27" spans="2:35" x14ac:dyDescent="0.35">
      <c r="E27" s="3">
        <v>420</v>
      </c>
      <c r="F27" s="38">
        <f t="shared" si="15"/>
        <v>19.737801972827071</v>
      </c>
      <c r="G27" s="48">
        <f t="shared" si="16"/>
        <v>0.39211220485319909</v>
      </c>
      <c r="H27" s="11">
        <f t="shared" si="9"/>
        <v>13.933786518382504</v>
      </c>
      <c r="I27" s="48">
        <f t="shared" si="10"/>
        <v>0.32603958310484982</v>
      </c>
      <c r="J27" s="25">
        <f t="shared" si="11"/>
        <v>14.650999185999162</v>
      </c>
      <c r="K27" s="48">
        <f t="shared" si="12"/>
        <v>0.35889340807441</v>
      </c>
      <c r="L27" s="11">
        <f t="shared" si="13"/>
        <v>11.375034838350061</v>
      </c>
      <c r="M27" s="56">
        <f t="shared" si="14"/>
        <v>0.28150584519854155</v>
      </c>
    </row>
    <row r="28" spans="2:35" x14ac:dyDescent="0.35">
      <c r="E28" s="3">
        <v>430</v>
      </c>
      <c r="F28" s="38">
        <f t="shared" si="15"/>
        <v>19.287061232086373</v>
      </c>
      <c r="G28" s="48">
        <f t="shared" si="16"/>
        <v>0.34813989952695668</v>
      </c>
      <c r="H28" s="11">
        <f t="shared" si="9"/>
        <v>12.146222324252641</v>
      </c>
      <c r="I28" s="48">
        <f t="shared" si="10"/>
        <v>0.26198445487909705</v>
      </c>
      <c r="J28" s="25">
        <f t="shared" si="11"/>
        <v>16.139468864468896</v>
      </c>
      <c r="K28" s="48">
        <f t="shared" si="12"/>
        <v>0.34961307398745772</v>
      </c>
      <c r="L28" s="11">
        <f t="shared" si="13"/>
        <v>12.113382861854305</v>
      </c>
      <c r="M28" s="56">
        <f t="shared" si="14"/>
        <v>0.26597580650777591</v>
      </c>
    </row>
    <row r="29" spans="2:35" x14ac:dyDescent="0.35">
      <c r="E29" s="3">
        <v>440</v>
      </c>
      <c r="F29" s="38">
        <f t="shared" si="15"/>
        <v>7.0385352689372667</v>
      </c>
      <c r="G29" s="48">
        <f t="shared" si="16"/>
        <v>0.12012664898566591</v>
      </c>
      <c r="H29" s="11">
        <f t="shared" si="9"/>
        <v>7.4522774036662724</v>
      </c>
      <c r="I29" s="48">
        <f t="shared" si="10"/>
        <v>0.14743948973173554</v>
      </c>
      <c r="J29" s="25">
        <f t="shared" si="11"/>
        <v>2.3905250305249979</v>
      </c>
      <c r="K29" s="48">
        <f t="shared" si="12"/>
        <v>4.8238385099181352E-2</v>
      </c>
      <c r="L29" s="11">
        <f t="shared" si="13"/>
        <v>7.849396715904831</v>
      </c>
      <c r="M29" s="56">
        <f t="shared" si="14"/>
        <v>0.14611542436994127</v>
      </c>
    </row>
    <row r="30" spans="2:35" x14ac:dyDescent="0.35">
      <c r="E30" s="3">
        <v>450</v>
      </c>
      <c r="F30" s="38">
        <f t="shared" si="15"/>
        <v>12.823472920156298</v>
      </c>
      <c r="G30" s="48">
        <f t="shared" si="16"/>
        <v>0.24291437512705272</v>
      </c>
      <c r="H30" s="11">
        <f t="shared" si="9"/>
        <v>7.8046946740128647</v>
      </c>
      <c r="I30" s="48">
        <f t="shared" si="10"/>
        <v>0.17629329356938642</v>
      </c>
      <c r="J30" s="25">
        <f t="shared" si="11"/>
        <v>10.830427350427364</v>
      </c>
      <c r="K30" s="48">
        <f t="shared" si="12"/>
        <v>0.24024346870040614</v>
      </c>
      <c r="L30" s="11">
        <f t="shared" si="13"/>
        <v>10.877923518208831</v>
      </c>
      <c r="M30" s="56">
        <f t="shared" si="14"/>
        <v>0.23586013136958583</v>
      </c>
    </row>
    <row r="31" spans="2:35" x14ac:dyDescent="0.35">
      <c r="E31" s="3">
        <v>460</v>
      </c>
      <c r="F31" s="38">
        <f t="shared" si="15"/>
        <v>16.879439791550375</v>
      </c>
      <c r="G31" s="48">
        <f t="shared" si="16"/>
        <v>0.35839681602898732</v>
      </c>
      <c r="H31" s="11">
        <f t="shared" si="9"/>
        <v>11.37405834438664</v>
      </c>
      <c r="I31" s="48">
        <f t="shared" si="10"/>
        <v>0.27542933538252551</v>
      </c>
      <c r="J31" s="25">
        <f t="shared" si="11"/>
        <v>12.120820105820094</v>
      </c>
      <c r="K31" s="48">
        <f t="shared" si="12"/>
        <v>0.3014662475177895</v>
      </c>
      <c r="L31" s="11">
        <f t="shared" si="13"/>
        <v>9.9631192516722251</v>
      </c>
      <c r="M31" s="56">
        <f t="shared" si="14"/>
        <v>0.25709448985791877</v>
      </c>
    </row>
    <row r="32" spans="2:35" x14ac:dyDescent="0.35">
      <c r="E32" s="3">
        <v>470</v>
      </c>
      <c r="F32" s="38">
        <f t="shared" si="15"/>
        <v>12.797264098269093</v>
      </c>
      <c r="G32" s="48">
        <f t="shared" si="16"/>
        <v>0.36305334262125938</v>
      </c>
      <c r="H32" s="11">
        <f t="shared" si="9"/>
        <v>9.04752278679047</v>
      </c>
      <c r="I32" s="48">
        <f t="shared" si="10"/>
        <v>0.28079920314674905</v>
      </c>
      <c r="J32" s="25">
        <f t="shared" si="11"/>
        <v>8.2796866096866317</v>
      </c>
      <c r="K32" s="48">
        <f t="shared" si="12"/>
        <v>0.26739602370592314</v>
      </c>
      <c r="L32" s="11">
        <f t="shared" si="13"/>
        <v>7.2007226054440956</v>
      </c>
      <c r="M32" s="56">
        <f t="shared" si="14"/>
        <v>0.25154779217585926</v>
      </c>
    </row>
    <row r="33" spans="5:13" x14ac:dyDescent="0.35">
      <c r="E33" s="3">
        <v>480</v>
      </c>
      <c r="F33" s="38">
        <f t="shared" si="15"/>
        <v>11.476337241764444</v>
      </c>
      <c r="G33" s="48">
        <f t="shared" si="16"/>
        <v>0.35448786828089368</v>
      </c>
      <c r="H33" s="11">
        <f t="shared" si="9"/>
        <v>7.9505024997449354</v>
      </c>
      <c r="I33" s="48">
        <f t="shared" si="10"/>
        <v>0.25801827948355277</v>
      </c>
      <c r="J33" s="25">
        <f t="shared" si="11"/>
        <v>6.6670227920227632</v>
      </c>
      <c r="K33" s="48">
        <f t="shared" si="12"/>
        <v>0.22455111111050113</v>
      </c>
      <c r="L33" s="11">
        <f t="shared" si="13"/>
        <v>6.2536464139725005</v>
      </c>
      <c r="M33" s="56">
        <f t="shared" si="14"/>
        <v>0.24193309173973329</v>
      </c>
    </row>
    <row r="34" spans="5:13" x14ac:dyDescent="0.35">
      <c r="E34" s="3">
        <v>490</v>
      </c>
      <c r="F34" s="38">
        <f t="shared" si="15"/>
        <v>25.657284571003167</v>
      </c>
      <c r="G34" s="48">
        <f t="shared" si="16"/>
        <v>0.72433928742240195</v>
      </c>
      <c r="H34" s="11">
        <f t="shared" si="9"/>
        <v>13.105123201714107</v>
      </c>
      <c r="I34" s="48">
        <f t="shared" si="10"/>
        <v>0.33535019351387052</v>
      </c>
      <c r="J34" s="25">
        <f t="shared" si="11"/>
        <v>7.2035856735856996</v>
      </c>
      <c r="K34" s="48">
        <f t="shared" si="12"/>
        <v>0.18199270444027088</v>
      </c>
      <c r="L34" s="11">
        <f t="shared" si="13"/>
        <v>7.3943512518580015</v>
      </c>
      <c r="M34" s="56">
        <f t="shared" si="14"/>
        <v>0.23069227146048485</v>
      </c>
    </row>
    <row r="35" spans="5:13" ht="15" thickBot="1" x14ac:dyDescent="0.4">
      <c r="E35" s="3">
        <v>500</v>
      </c>
      <c r="F35" s="38">
        <f>W17-G17</f>
        <v>19.718860971524308</v>
      </c>
      <c r="G35" s="48">
        <f>F35/((G17+W17)/2)</f>
        <v>0.32655912463568637</v>
      </c>
      <c r="H35" s="11">
        <f t="shared" si="9"/>
        <v>11.352810512532749</v>
      </c>
      <c r="I35" s="48">
        <f t="shared" si="10"/>
        <v>0.18429896289913805</v>
      </c>
      <c r="J35" s="25">
        <f t="shared" si="11"/>
        <v>7.6590109890110298</v>
      </c>
      <c r="K35" s="48">
        <f t="shared" si="12"/>
        <v>0.12669105401072386</v>
      </c>
      <c r="L35" s="11">
        <f t="shared" si="13"/>
        <v>9.7888694374767624</v>
      </c>
      <c r="M35" s="56">
        <f t="shared" si="14"/>
        <v>0.21230632909180622</v>
      </c>
    </row>
    <row r="36" spans="5:13" ht="15" thickBot="1" x14ac:dyDescent="0.4">
      <c r="E36" s="5" t="s">
        <v>8</v>
      </c>
      <c r="F36" s="45">
        <f t="shared" ref="F36:M36" si="17">AVERAGE(F25:F35)</f>
        <v>16.54850413684585</v>
      </c>
      <c r="G36" s="49">
        <f t="shared" si="17"/>
        <v>0.35058093549015151</v>
      </c>
      <c r="H36" s="50">
        <f t="shared" si="17"/>
        <v>10.777470140647374</v>
      </c>
      <c r="I36" s="49">
        <f t="shared" si="17"/>
        <v>0.24942114320977515</v>
      </c>
      <c r="J36" s="53">
        <f t="shared" si="17"/>
        <v>10.765008140008137</v>
      </c>
      <c r="K36" s="54">
        <f t="shared" si="17"/>
        <v>0.25155068448005458</v>
      </c>
      <c r="L36" s="50">
        <f t="shared" si="17"/>
        <v>9.6760360714164957</v>
      </c>
      <c r="M36" s="57">
        <f t="shared" si="17"/>
        <v>0.23674679327274831</v>
      </c>
    </row>
    <row r="56" spans="36:36" x14ac:dyDescent="0.35">
      <c r="AJ56" t="s">
        <v>15</v>
      </c>
    </row>
  </sheetData>
  <mergeCells count="17">
    <mergeCell ref="E23:E24"/>
    <mergeCell ref="H23:I23"/>
    <mergeCell ref="F23:G23"/>
    <mergeCell ref="J23:K23"/>
    <mergeCell ref="L23:M23"/>
    <mergeCell ref="B4:B6"/>
    <mergeCell ref="H5:K5"/>
    <mergeCell ref="L5:O5"/>
    <mergeCell ref="X5:AA5"/>
    <mergeCell ref="AB5:AE5"/>
    <mergeCell ref="C4:C6"/>
    <mergeCell ref="D5:F5"/>
    <mergeCell ref="T4:AI4"/>
    <mergeCell ref="D4:S4"/>
    <mergeCell ref="AF5:AI5"/>
    <mergeCell ref="T5:W5"/>
    <mergeCell ref="P5:S5"/>
  </mergeCells>
  <pageMargins left="0.7" right="0.7" top="0.75" bottom="0.75" header="0.3" footer="0.3"/>
  <pageSetup orientation="portrait" r:id="rId1"/>
  <ignoredErrors>
    <ignoredError sqref="G7:G8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</dc:creator>
  <cp:lastModifiedBy>Arvind</cp:lastModifiedBy>
  <dcterms:created xsi:type="dcterms:W3CDTF">2015-06-05T18:17:20Z</dcterms:created>
  <dcterms:modified xsi:type="dcterms:W3CDTF">2024-02-22T02:35:23Z</dcterms:modified>
</cp:coreProperties>
</file>